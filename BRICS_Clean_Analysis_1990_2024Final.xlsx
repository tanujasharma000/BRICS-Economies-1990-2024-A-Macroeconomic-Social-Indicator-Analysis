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meowmie\bitchanalysis\BRICS\"/>
    </mc:Choice>
  </mc:AlternateContent>
  <xr:revisionPtr revIDLastSave="0" documentId="13_ncr:1_{1895C4BE-2A8F-44F9-BFED-C4CAC838593D}" xr6:coauthVersionLast="47" xr6:coauthVersionMax="47" xr10:uidLastSave="{00000000-0000-0000-0000-000000000000}"/>
  <bookViews>
    <workbookView xWindow="-108" yWindow="-108" windowWidth="23256" windowHeight="12456" activeTab="1" xr2:uid="{EB573783-1AD2-47B9-8598-949946527BE8}"/>
  </bookViews>
  <sheets>
    <sheet name="Sheet1" sheetId="2" r:id="rId1"/>
    <sheet name="BRICS_Clean_Analysis_1990_2024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K178" i="1"/>
</calcChain>
</file>

<file path=xl/sharedStrings.xml><?xml version="1.0" encoding="utf-8"?>
<sst xmlns="http://schemas.openxmlformats.org/spreadsheetml/2006/main" count="203" uniqueCount="27">
  <si>
    <t>economy</t>
  </si>
  <si>
    <t>Year</t>
  </si>
  <si>
    <t>GDP_Current_USD</t>
  </si>
  <si>
    <t>GDP_per_Capita_USD</t>
  </si>
  <si>
    <t>GDP_Growth_Annual_Pct</t>
  </si>
  <si>
    <t>GDP_PPP</t>
  </si>
  <si>
    <t>Total_Exports_USD</t>
  </si>
  <si>
    <t>Total_Imports_USD</t>
  </si>
  <si>
    <t>Household_Consumption_Growth</t>
  </si>
  <si>
    <t>Urban_Population_Pct</t>
  </si>
  <si>
    <t>Life_Expectancy_Years</t>
  </si>
  <si>
    <t>Under5_Mortality_Rate</t>
  </si>
  <si>
    <t>Unemployment_Pct</t>
  </si>
  <si>
    <t>Labor_Force_Participation_Rate</t>
  </si>
  <si>
    <t>Renewable_Energy_Consumption_Pct</t>
  </si>
  <si>
    <t>Internet_Users_Pct_Population</t>
  </si>
  <si>
    <t>Mobile_Subscriptions</t>
  </si>
  <si>
    <t>Decade</t>
  </si>
  <si>
    <t>Row Labels</t>
  </si>
  <si>
    <t>Grand Total</t>
  </si>
  <si>
    <t>Column Labels</t>
  </si>
  <si>
    <t>Average of GDP_Growth_Annual_Pct</t>
  </si>
  <si>
    <t>Brazil</t>
  </si>
  <si>
    <t>China</t>
  </si>
  <si>
    <t>India</t>
  </si>
  <si>
    <t>Russia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</si>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</sst>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[BRICS_Clean_Analysis_1990_2024.csv.xlsx]Sheet1!PivotTable1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1990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</c:strCache>
            </c:strRef>
          </c:cat>
          <c:val>
            <c:numRef>
              <c:f>Sheet1!$B$5:$B$10</c:f>
              <c:numCache>
                <c:formatCode>0.00</c:formatCode>
                <c:ptCount val="5"/>
                <c:pt idx="0">
                  <c:v>1.7549217042000003</c:v>
                </c:pt>
                <c:pt idx="1">
                  <c:v>10.055918453199999</c:v>
                </c:pt>
                <c:pt idx="2">
                  <c:v>5.7686388622000013</c:v>
                </c:pt>
                <c:pt idx="3">
                  <c:v>-4.9215034160000002</c:v>
                </c:pt>
                <c:pt idx="4">
                  <c:v>1.3860519698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4-4E8B-A73E-E59630E9AFB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</c:strCache>
            </c:strRef>
          </c:cat>
          <c:val>
            <c:numRef>
              <c:f>Sheet1!$C$5:$C$10</c:f>
              <c:numCache>
                <c:formatCode>0.00</c:formatCode>
                <c:ptCount val="5"/>
                <c:pt idx="0">
                  <c:v>3.3934476164000005</c:v>
                </c:pt>
                <c:pt idx="1">
                  <c:v>10.374790910900002</c:v>
                </c:pt>
                <c:pt idx="2">
                  <c:v>6.2845815984000009</c:v>
                </c:pt>
                <c:pt idx="3">
                  <c:v>5.4799996982999994</c:v>
                </c:pt>
                <c:pt idx="4">
                  <c:v>3.5998297017000001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4-4E8B-A73E-E59630E9AFB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</c:strCache>
            </c:strRef>
          </c:cat>
          <c:val>
            <c:numRef>
              <c:f>Sheet1!$D$5:$D$10</c:f>
              <c:numCache>
                <c:formatCode>0.00</c:formatCode>
                <c:ptCount val="5"/>
                <c:pt idx="0">
                  <c:v>1.4438236631000001</c:v>
                </c:pt>
                <c:pt idx="1">
                  <c:v>7.6625228884000007</c:v>
                </c:pt>
                <c:pt idx="2">
                  <c:v>6.6364853452000006</c:v>
                </c:pt>
                <c:pt idx="3">
                  <c:v>2.0367886745999999</c:v>
                </c:pt>
                <c:pt idx="4">
                  <c:v>1.7464896925999998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4-4E8B-A73E-E59630E9AFB2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</c:strCache>
            </c:strRef>
          </c:cat>
          <c:val>
            <c:numRef>
              <c:f>Sheet1!$E$5:$E$10</c:f>
              <c:numCache>
                <c:formatCode>0.00</c:formatCode>
                <c:ptCount val="5"/>
                <c:pt idx="0">
                  <c:v>2.2327020864000002</c:v>
                </c:pt>
                <c:pt idx="1">
                  <c:v>4.8873324656000001</c:v>
                </c:pt>
                <c:pt idx="2">
                  <c:v>5.4413506433999999</c:v>
                </c:pt>
                <c:pt idx="3">
                  <c:v>2.0407709401999998</c:v>
                </c:pt>
                <c:pt idx="4">
                  <c:v>0.41776312720000008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14-4E8B-A73E-E59630E9A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778016"/>
        <c:axId val="1030762656"/>
      </c:barChart>
      <c:catAx>
        <c:axId val="103077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62656"/>
        <c:crosses val="autoZero"/>
        <c:auto val="1"/>
        <c:lblAlgn val="ctr"/>
        <c:lblOffset val="100"/>
        <c:noMultiLvlLbl val="0"/>
      </c:catAx>
      <c:valAx>
        <c:axId val="10307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155408946705592E-2"/>
          <c:y val="7.4863976181858763E-2"/>
          <c:w val="0.7340559724956256"/>
          <c:h val="0.81430149285637943"/>
        </c:manualLayout>
      </c:layout>
      <c:lineChart>
        <c:grouping val="standard"/>
        <c:varyColors val="0"/>
        <c:ser>
          <c:idx val="0"/>
          <c:order val="0"/>
          <c:tx>
            <c:v>Brazil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1990</c:v>
              </c:pt>
              <c:pt idx="1">
                <c:v>2000</c:v>
              </c:pt>
              <c:pt idx="2">
                <c:v>2010</c:v>
              </c:pt>
              <c:pt idx="3">
                <c:v>2020</c:v>
              </c:pt>
            </c:strLit>
          </c:cat>
          <c:val>
            <c:numLit>
              <c:formatCode>General</c:formatCode>
              <c:ptCount val="4"/>
              <c:pt idx="0">
                <c:v>1.7549217042000003</c:v>
              </c:pt>
              <c:pt idx="1">
                <c:v>3.3934476164000005</c:v>
              </c:pt>
              <c:pt idx="2">
                <c:v>1.4438236631000001</c:v>
              </c:pt>
              <c:pt idx="3">
                <c:v>2.2327020864000002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1B-44A0-A063-50BB1D280079}"/>
            </c:ext>
          </c:extLst>
        </c:ser>
        <c:ser>
          <c:idx val="1"/>
          <c:order val="1"/>
          <c:tx>
            <c:v>China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1990</c:v>
              </c:pt>
              <c:pt idx="1">
                <c:v>2000</c:v>
              </c:pt>
              <c:pt idx="2">
                <c:v>2010</c:v>
              </c:pt>
              <c:pt idx="3">
                <c:v>2020</c:v>
              </c:pt>
            </c:strLit>
          </c:cat>
          <c:val>
            <c:numLit>
              <c:formatCode>General</c:formatCode>
              <c:ptCount val="4"/>
              <c:pt idx="0">
                <c:v>10.055918453199999</c:v>
              </c:pt>
              <c:pt idx="1">
                <c:v>10.374790910900002</c:v>
              </c:pt>
              <c:pt idx="2">
                <c:v>7.6625228884000007</c:v>
              </c:pt>
              <c:pt idx="3">
                <c:v>4.8873324656000001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4-F91B-44A0-A063-50BB1D280079}"/>
            </c:ext>
          </c:extLst>
        </c:ser>
        <c:ser>
          <c:idx val="2"/>
          <c:order val="2"/>
          <c:tx>
            <c:v>India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4"/>
              <c:pt idx="0">
                <c:v>1990</c:v>
              </c:pt>
              <c:pt idx="1">
                <c:v>2000</c:v>
              </c:pt>
              <c:pt idx="2">
                <c:v>2010</c:v>
              </c:pt>
              <c:pt idx="3">
                <c:v>2020</c:v>
              </c:pt>
            </c:strLit>
          </c:cat>
          <c:val>
            <c:numLit>
              <c:formatCode>General</c:formatCode>
              <c:ptCount val="4"/>
              <c:pt idx="0">
                <c:v>5.7686388622000013</c:v>
              </c:pt>
              <c:pt idx="1">
                <c:v>6.2845815984000009</c:v>
              </c:pt>
              <c:pt idx="2">
                <c:v>6.6364853452000006</c:v>
              </c:pt>
              <c:pt idx="3">
                <c:v>5.4413506433999999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5-F91B-44A0-A063-50BB1D280079}"/>
            </c:ext>
          </c:extLst>
        </c:ser>
        <c:ser>
          <c:idx val="3"/>
          <c:order val="3"/>
          <c:tx>
            <c:v>Russia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4"/>
              <c:pt idx="0">
                <c:v>1990</c:v>
              </c:pt>
              <c:pt idx="1">
                <c:v>2000</c:v>
              </c:pt>
              <c:pt idx="2">
                <c:v>2010</c:v>
              </c:pt>
              <c:pt idx="3">
                <c:v>2020</c:v>
              </c:pt>
            </c:strLit>
          </c:cat>
          <c:val>
            <c:numLit>
              <c:formatCode>General</c:formatCode>
              <c:ptCount val="4"/>
              <c:pt idx="0">
                <c:v>-4.9215034160000002</c:v>
              </c:pt>
              <c:pt idx="1">
                <c:v>5.4799996982999994</c:v>
              </c:pt>
              <c:pt idx="2">
                <c:v>2.0367886745999999</c:v>
              </c:pt>
              <c:pt idx="3">
                <c:v>2.0407709401999998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6-F91B-44A0-A063-50BB1D280079}"/>
            </c:ext>
          </c:extLst>
        </c:ser>
        <c:ser>
          <c:idx val="4"/>
          <c:order val="4"/>
          <c:tx>
            <c:v>South Africa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4"/>
              <c:pt idx="0">
                <c:v>1990</c:v>
              </c:pt>
              <c:pt idx="1">
                <c:v>2000</c:v>
              </c:pt>
              <c:pt idx="2">
                <c:v>2010</c:v>
              </c:pt>
              <c:pt idx="3">
                <c:v>2020</c:v>
              </c:pt>
            </c:strLit>
          </c:cat>
          <c:val>
            <c:numLit>
              <c:formatCode>General</c:formatCode>
              <c:ptCount val="4"/>
              <c:pt idx="0">
                <c:v>1.3860519698</c:v>
              </c:pt>
              <c:pt idx="1">
                <c:v>3.5998297017000001</c:v>
              </c:pt>
              <c:pt idx="2">
                <c:v>1.7464896925999998</c:v>
              </c:pt>
              <c:pt idx="3">
                <c:v>0.41776312720000008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27-F91B-44A0-A063-50BB1D280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051391"/>
        <c:axId val="1924052351"/>
      </c:lineChart>
      <c:catAx>
        <c:axId val="192405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52351"/>
        <c:crosses val="autoZero"/>
        <c:auto val="1"/>
        <c:lblAlgn val="ctr"/>
        <c:lblOffset val="100"/>
        <c:noMultiLvlLbl val="0"/>
      </c:catAx>
      <c:valAx>
        <c:axId val="192405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05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69724498782481"/>
          <c:y val="8.339763650767891E-2"/>
          <c:w val="0.75123351339335143"/>
          <c:h val="0.728472522333294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Brazil</c:v>
              </c:pt>
              <c:pt idx="1">
                <c:v>China</c:v>
              </c:pt>
              <c:pt idx="2">
                <c:v>India</c:v>
              </c:pt>
              <c:pt idx="3">
                <c:v>Russia</c:v>
              </c:pt>
              <c:pt idx="4">
                <c:v>South Africa</c:v>
              </c:pt>
            </c:strLit>
          </c:cat>
          <c:val>
            <c:numLit>
              <c:formatCode>General</c:formatCode>
              <c:ptCount val="5"/>
              <c:pt idx="0">
                <c:v>10310.54888</c:v>
              </c:pt>
              <c:pt idx="1">
                <c:v>13303.148150000001</c:v>
              </c:pt>
              <c:pt idx="2">
                <c:v>2694.7378090000002</c:v>
              </c:pt>
              <c:pt idx="3">
                <c:v>14889.018550000001</c:v>
              </c:pt>
              <c:pt idx="4">
                <c:v>6267.1868139999997</c:v>
              </c:pt>
            </c:numLit>
          </c:val>
          <c:extLst>
            <c:ext xmlns:c16="http://schemas.microsoft.com/office/drawing/2014/chart" uri="{C3380CC4-5D6E-409C-BE32-E72D297353CC}">
              <c16:uniqueId val="{000000B0-A97C-480F-B920-BD0C301FD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493503"/>
        <c:axId val="1929492063"/>
      </c:barChart>
      <c:catAx>
        <c:axId val="192949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92063"/>
        <c:crosses val="autoZero"/>
        <c:auto val="1"/>
        <c:lblAlgn val="ctr"/>
        <c:lblOffset val="100"/>
        <c:noMultiLvlLbl val="0"/>
      </c:catAx>
      <c:valAx>
        <c:axId val="19294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10</xdr:row>
      <xdr:rowOff>49530</xdr:rowOff>
    </xdr:from>
    <xdr:to>
      <xdr:col>6</xdr:col>
      <xdr:colOff>68580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5AF2F-87C6-F629-BC17-83E676BF2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83185</xdr:colOff>
      <xdr:row>2</xdr:row>
      <xdr:rowOff>3507</xdr:rowOff>
    </xdr:from>
    <xdr:to>
      <xdr:col>12</xdr:col>
      <xdr:colOff>579810</xdr:colOff>
      <xdr:row>22</xdr:row>
      <xdr:rowOff>86471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14870-736B-F4C2-FBD9-B61316B86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208721</xdr:colOff>
      <xdr:row>2</xdr:row>
      <xdr:rowOff>148535</xdr:rowOff>
    </xdr:from>
    <xdr:to>
      <xdr:col>18</xdr:col>
      <xdr:colOff>514294</xdr:colOff>
      <xdr:row>17</xdr:row>
      <xdr:rowOff>148535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4E2305-7506-4186-3864-8646A2CF4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1.019443171295" createdVersion="8" refreshedVersion="8" minRefreshableVersion="3" recordCount="175" xr:uid="{7157BF9F-4F19-40CE-A10C-B08CFDDE2E7A}">
  <cacheSource type="worksheet">
    <worksheetSource name="Table1"/>
  </cacheSource>
  <cacheFields count="18">
    <cacheField name="economy" numFmtId="0">
      <sharedItems count="10">
        <s v="Brazil"/>
        <s v="China"/>
        <s v="India"/>
        <s v="Russia"/>
        <s v="South Africa"/>
        <s v="BRA" u="1"/>
        <s v="CHN" u="1"/>
        <s v="IND" u="1"/>
        <s v="RUS" u="1"/>
        <s v="ZAF" u="1"/>
      </sharedItems>
    </cacheField>
    <cacheField name="Year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GDP_Current_USD" numFmtId="0">
      <sharedItems containsSemiMixedTypes="0" containsString="0" containsNumber="1" containsInteger="1" minValue="126048000000" maxValue="18743800000000"/>
    </cacheField>
    <cacheField name="GDP_per_Capita_USD" numFmtId="0">
      <sharedItems containsSemiMixedTypes="0" containsString="0" containsNumber="1" minValue="302.88480620000001" maxValue="15941.44824" count="175">
        <n v="2619.8014109999999"/>
        <n v="2258.1045399999998"/>
        <n v="2127.2908299999999"/>
        <n v="2348.9063540000002"/>
        <n v="3298.714919"/>
        <n v="4756.7501359999997"/>
        <n v="5179.1305199999997"/>
        <n v="5299.3979419999996"/>
        <n v="5105.8924619999998"/>
        <n v="3493.5719199999999"/>
        <n v="3766.5478629999998"/>
        <n v="3176.2897509999998"/>
        <n v="2855.9401710000002"/>
        <n v="3090.6068909999999"/>
        <n v="3663.8226249999998"/>
        <n v="4827.7816590000002"/>
        <n v="5934.1456189999999"/>
        <n v="7409.6900379999997"/>
        <n v="8908.3333849999999"/>
        <n v="8678.6584729999995"/>
        <n v="11403.284"/>
        <n v="13396.626319999999"/>
        <n v="12521.72385"/>
        <n v="12458.89034"/>
        <n v="12274.99416"/>
        <n v="8936.1955890000008"/>
        <n v="8836.2854599999991"/>
        <n v="10080.507869999999"/>
        <n v="9300.6607289999993"/>
        <n v="9029.8330440000009"/>
        <n v="7074.1940750000003"/>
        <n v="7972.5369609999998"/>
        <n v="9281.332821"/>
        <n v="10377.58977"/>
        <n v="10310.54888"/>
        <n v="318.50335360000003"/>
        <n v="334.13028809999997"/>
        <n v="367.82265189999998"/>
        <n v="378.93935310000001"/>
        <n v="475.67787440000001"/>
        <n v="612.68027789999996"/>
        <n v="713.33738779999999"/>
        <n v="786.74354849999997"/>
        <n v="835.09534859999997"/>
        <n v="881.14661409999997"/>
        <n v="969.19951370000001"/>
        <n v="1065.405976"/>
        <n v="1163.559577"/>
        <n v="1306.972454"/>
        <n v="1530.9272619999999"/>
        <n v="1777.6449680000001"/>
        <n v="2129.2569699999999"/>
        <n v="2734.7270990000002"/>
        <n v="3523.443021"/>
        <n v="3898.244592"/>
        <n v="4629.2455170000003"/>
        <n v="5703.7602800000004"/>
        <n v="6405.0574239999996"/>
        <n v="7147.0351860000001"/>
        <n v="7781.0659750000004"/>
        <n v="8175.3328510000001"/>
        <n v="8254.8685929999992"/>
        <n v="8979.6765269999996"/>
        <n v="10085.66381"/>
        <n v="10342.900949999999"/>
        <n v="10627.4638"/>
        <n v="12887.435719999999"/>
        <n v="12970.60564"/>
        <n v="12951.178239999999"/>
        <n v="13303.148150000001"/>
        <n v="371.08593619999999"/>
        <n v="305.57405590000002"/>
        <n v="319.18247259999998"/>
        <n v="302.88480620000001"/>
        <n v="347.7342147"/>
        <n v="375.17600540000001"/>
        <n v="401.04675470000001"/>
        <n v="416.22811619999999"/>
        <n v="413.6308641"/>
        <n v="441.9279914"/>
        <n v="442.75021889999999"/>
        <n v="450.35790050000003"/>
        <n v="469.14992899999999"/>
        <n v="544.14313349999998"/>
        <n v="624.25882650000005"/>
        <n v="710.48808039999994"/>
        <n v="801.66835370000001"/>
        <n v="1021.887077"/>
        <n v="992.51958490000004"/>
        <n v="1094.949746"/>
        <n v="1347.519391"/>
        <n v="1445.4612749999999"/>
        <n v="1429.321995"/>
        <n v="1432.843975"/>
        <n v="1553.883961"/>
        <n v="1583.998159"/>
        <n v="1707.5089290000001"/>
        <n v="1950.104683"/>
        <n v="1966.2545520000001"/>
        <n v="2041.428637"/>
        <n v="1907.042516"/>
        <n v="2239.613844"/>
        <n v="2347.4482939999998"/>
        <n v="2530.1203129999999"/>
        <n v="2694.7378090000002"/>
        <n v="3494.063232"/>
        <n v="3490.452393"/>
        <n v="3098.8027339999999"/>
        <n v="2930.6701659999999"/>
        <n v="2662.1040039999998"/>
        <n v="2665.7797850000002"/>
        <n v="2643.9291990000002"/>
        <n v="2737.5720209999999"/>
        <n v="1834.8618160000001"/>
        <n v="1330.757202"/>
        <n v="1771.594116"/>
        <n v="2100.352539"/>
        <n v="2377.5295409999999"/>
        <n v="2975.123047"/>
        <n v="4102.3647460000002"/>
        <n v="5323.455078"/>
        <n v="6920.1997069999998"/>
        <n v="9101.2392579999996"/>
        <n v="11635.284180000001"/>
        <n v="8562.8242190000001"/>
        <n v="10674.990229999999"/>
        <n v="14305.33203"/>
        <n v="15401.851559999999"/>
        <n v="15941.44824"/>
        <n v="14055.472659999999"/>
        <n v="9277.7138670000004"/>
        <n v="8663.1582030000009"/>
        <n v="10658.91309"/>
        <n v="11211.887699999999"/>
        <n v="11447.70117"/>
        <n v="10108.327149999999"/>
        <n v="12425.0293"/>
        <n v="15619.61426"/>
        <n v="14159.387699999999"/>
        <n v="14889.018550000001"/>
        <n v="3093.489204"/>
        <n v="3243.2361599999999"/>
        <n v="3462.394002"/>
        <n v="3399.6400960000001"/>
        <n v="3488.597115"/>
        <n v="3855.6340869999999"/>
        <n v="3617.5533599999999"/>
        <n v="3700.2355480000001"/>
        <n v="3309.6093310000001"/>
        <n v="3242.368305"/>
        <n v="3217.8469340000001"/>
        <n v="2847.1519189999999"/>
        <n v="2688.2367599999998"/>
        <n v="4062.21756"/>
        <n v="5221.4633370000001"/>
        <n v="5836.8766329999999"/>
        <n v="6077.3829340000002"/>
        <n v="6591.8553599999996"/>
        <n v="6184.7547430000004"/>
        <n v="6374.7056000000002"/>
        <n v="7973.4719580000001"/>
        <n v="8646.0557110000009"/>
        <n v="8076.9767849999998"/>
        <n v="7331.6546740000003"/>
        <n v="6856.7313709999999"/>
        <n v="6112.2738250000002"/>
        <n v="5651.205852"/>
        <n v="6618.3350829999999"/>
        <n v="6914.1780319999998"/>
        <n v="6533.7112100000004"/>
        <n v="5580.6038310000004"/>
        <n v="6828.7562459999999"/>
        <n v="6534.2486779999999"/>
        <n v="6034.2720900000004"/>
        <n v="6267.1868139999997"/>
      </sharedItems>
    </cacheField>
    <cacheField name="GDP_Growth_Annual_Pct" numFmtId="0">
      <sharedItems containsSemiMixedTypes="0" containsString="0" containsNumber="1" minValue="-14.531073770000001" maxValue="14.29961089" count="175">
        <n v="-4.3499999999999996"/>
        <n v="1.032189585"/>
        <n v="-0.544072051"/>
        <n v="4.9246900050000004"/>
        <n v="5.8528703640000002"/>
        <n v="4.2237936339999997"/>
        <n v="2.2088640509999999"/>
        <n v="3.3948459849999999"/>
        <n v="0.33809790200000001"/>
        <n v="0.467937567"/>
        <n v="4.3879494440000002"/>
        <n v="1.3898964039999999"/>
        <n v="3.0534618569999998"/>
        <n v="1.140828999"/>
        <n v="5.7599646370000004"/>
        <n v="3.202132062"/>
        <n v="3.9619887089999999"/>
        <n v="6.0698706070000004"/>
        <n v="5.0941954479999998"/>
        <n v="-0.12581200300000001"/>
        <n v="7.5282258180000001"/>
        <n v="3.9744230790000001"/>
        <n v="1.9211759850000001"/>
        <n v="3.0048226699999998"/>
        <n v="0.50395573999999999"/>
        <n v="-3.5457633930000001"/>
        <n v="-3.275916906"/>
        <n v="1.3228690540000001"/>
        <n v="1.7836667610000001"/>
        <n v="1.2207778229999999"/>
        <n v="-3.2767587960000002"/>
        <n v="4.76260438"/>
        <n v="3.0166943540000002"/>
        <n v="3.2416553279999998"/>
        <n v="3.4193151660000001"/>
        <n v="3.9416305980000002"/>
        <n v="9.3617021279999992"/>
        <n v="14.29961089"/>
        <n v="13.92907801"/>
        <n v="13.07270916"/>
        <n v="11.032812160000001"/>
        <n v="9.9761999209999992"/>
        <n v="9.2876465279999998"/>
        <n v="7.9207920789999999"/>
        <n v="7.737003058"/>
        <n v="8.586432018"/>
        <n v="8.3126388710000008"/>
        <n v="9.243393266"/>
        <n v="10.118192860000001"/>
        <n v="10.131407360000001"/>
        <n v="11.45823846"/>
        <n v="12.67467517"/>
        <n v="14.149985490000001"/>
        <n v="9.670245886"/>
        <n v="9.402699728"/>
        <n v="10.596271979999999"/>
        <n v="9.4613358870000006"/>
        <n v="7.8561742710000004"/>
        <n v="7.7787240940000002"/>
        <n v="7.4619002820000002"/>
        <n v="6.978780027"/>
        <n v="6.7755556280000002"/>
        <n v="6.8912663619999996"/>
        <n v="6.7567180020000004"/>
        <n v="6.0685023510000002"/>
        <n v="2.3401884310000001"/>
        <n v="8.5700851320000009"/>
        <n v="3.1341888720000002"/>
        <n v="5.4148433010000003"/>
        <n v="4.9773565919999996"/>
        <n v="5.5334545610000001"/>
        <n v="1.0568314350000001"/>
        <n v="5.4823960200000004"/>
        <n v="4.7507762180000004"/>
        <n v="6.6589240700000003"/>
        <n v="7.5744918380000001"/>
        <n v="7.5495222489999998"/>
        <n v="4.0498208499999997"/>
        <n v="6.1844158220000001"/>
        <n v="8.8457555590000005"/>
        <n v="3.8409911569999999"/>
        <n v="4.8239662660000002"/>
        <n v="3.8039753209999998"/>
        <n v="7.8603814759999997"/>
        <n v="7.922936612"/>
        <n v="7.9234306209999996"/>
        <n v="8.0607325719999992"/>
        <n v="7.6608150669999997"/>
        <n v="3.0866980590000002"/>
        <n v="7.8618888330000001"/>
        <n v="8.4975847019999993"/>
        <n v="5.2413161989999999"/>
        <n v="5.4563875519999998"/>
        <n v="6.3861064010000002"/>
        <n v="7.4102276050000002"/>
        <n v="7.9962537859999996"/>
        <n v="8.256305502"/>
        <n v="6.7953834190000002"/>
        <n v="6.4538513450000004"/>
        <n v="3.8714369409999998"/>
        <n v="-5.777724707"/>
        <n v="9.6895924919999992"/>
        <n v="7.6093649780000003"/>
        <n v="9.1907549300000007"/>
        <n v="6.494765524"/>
        <n v="-2.999995642"/>
        <n v="-5.0469394510000001"/>
        <n v="-14.531073770000001"/>
        <n v="-8.6685403430000001"/>
        <n v="-12.56975598"/>
        <n v="-4.1435284049999996"/>
        <n v="-3.755069438"/>
        <n v="1.399915805"/>
        <n v="-5.2999616270000001"/>
        <n v="6.3999146910000002"/>
        <n v="10.00006681"/>
        <n v="5.1000512259999997"/>
        <n v="4.6999919090000004"/>
        <n v="7.2999523450000003"/>
        <n v="7.1999478699999999"/>
        <n v="6.3999654479999997"/>
        <n v="8.2000682549999997"/>
        <n v="8.4999777689999991"/>
        <n v="5.1999692639999999"/>
        <n v="-7.7999939129999998"/>
        <n v="4.4999999989999999"/>
        <n v="4.3000291859999997"/>
        <n v="4.0240861570000002"/>
        <n v="1.7554221489999999"/>
        <n v="0.73626722200000005"/>
        <n v="-1.9727192259999999"/>
        <n v="0.19369007099999999"/>
        <n v="1.825790064"/>
        <n v="2.8072454109999998"/>
        <n v="2.1980757130000002"/>
        <n v="-2.6536545010000001"/>
        <n v="5.8664917729999999"/>
        <n v="-1.4358821390000001"/>
        <n v="4.082524813"/>
        <n v="4.3443747549999996"/>
        <n v="-0.31776042700000001"/>
        <n v="-1.0182449680000001"/>
        <n v="-2.1370328449999998"/>
        <n v="1.233557939"/>
        <n v="3.200000003"/>
        <n v="3.1000000010000002"/>
        <n v="4.2999999969999996"/>
        <n v="2.6000000010000002"/>
        <n v="0.5"/>
        <n v="2.3999999970000001"/>
        <n v="4.2000000010000003"/>
        <n v="2.7"/>
        <n v="3.7003744040000002"/>
        <n v="2.9490754680000002"/>
        <n v="4.5545599069999998"/>
        <n v="5.2770519729999998"/>
        <n v="5.6038064590000003"/>
        <n v="5.360474054"/>
        <n v="3.1910438860000001"/>
        <n v="-1.5380891350000001"/>
        <n v="3.0397328809999999"/>
        <n v="3.1685562790000001"/>
        <n v="2.3962323849999998"/>
        <n v="2.4854680079999998"/>
        <n v="1.4138264519999999"/>
        <n v="1.3218622369999999"/>
        <n v="0.66455230799999998"/>
        <n v="1.1579469520000001"/>
        <n v="1.5567838469999999"/>
        <n v="0.25993557699999997"/>
        <n v="-6.1689177150000001"/>
        <n v="4.8586486510000002"/>
        <n v="2.0581366170000002"/>
        <n v="0.806104551"/>
        <n v="0.53484353200000001"/>
      </sharedItems>
    </cacheField>
    <cacheField name="GDP_PPP" numFmtId="0">
      <sharedItems containsSemiMixedTypes="0" containsString="0" containsNumber="1" containsInteger="1" minValue="260029000000" maxValue="38190100000000"/>
    </cacheField>
    <cacheField name="Total_Exports_USD" numFmtId="0">
      <sharedItems containsSemiMixedTypes="0" containsString="0" containsNumber="1" containsInteger="1" minValue="17727000000" maxValue="3576650000000"/>
    </cacheField>
    <cacheField name="Total_Imports_USD" numFmtId="0">
      <sharedItems containsSemiMixedTypes="0" containsString="0" containsNumber="1" containsInteger="1" minValue="18399000000" maxValue="2706510000000"/>
    </cacheField>
    <cacheField name="Household_Consumption_Growth" numFmtId="0">
      <sharedItems containsSemiMixedTypes="0" containsString="0" containsNumber="1" minValue="-7.9685150010000001" maxValue="12.275004750000001"/>
    </cacheField>
    <cacheField name="Urban_Population_Pct" numFmtId="0">
      <sharedItems containsSemiMixedTypes="0" containsString="0" containsNumber="1" minValue="25.57840173" maxValue="87.89585495"/>
    </cacheField>
    <cacheField name="Life_Expectancy_Years" numFmtId="0">
      <sharedItems containsSemiMixedTypes="0" containsString="0" containsNumber="1" minValue="53.914000000000001" maxValue="78.201999999999998"/>
    </cacheField>
    <cacheField name="Under5_Mortality_Rate" numFmtId="0">
      <sharedItems containsSemiMixedTypes="0" containsString="0" containsNumber="1" minValue="5.2" maxValue="127"/>
    </cacheField>
    <cacheField name="Unemployment_Pct" numFmtId="0">
      <sharedItems containsSemiMixedTypes="0" containsString="0" containsNumber="1" minValue="2.37" maxValue="34.006999999999998"/>
    </cacheField>
    <cacheField name="Labor_Force_Participation_Rate" numFmtId="0">
      <sharedItems containsSemiMixedTypes="0" containsString="0" containsNumber="1" minValue="50.548000000000002" maxValue="79.17"/>
    </cacheField>
    <cacheField name="Renewable_Energy_Consumption_Pct" numFmtId="0">
      <sharedItems containsSemiMixedTypes="0" containsString="0" containsNumber="1" minValue="3.2" maxValue="53"/>
    </cacheField>
    <cacheField name="Internet_Users_Pct_Population" numFmtId="0">
      <sharedItems containsSemiMixedTypes="0" containsString="0" containsNumber="1" minValue="0" maxValue="94.364953679999999"/>
    </cacheField>
    <cacheField name="Mobile_Subscriptions" numFmtId="0">
      <sharedItems containsSemiMixedTypes="0" containsString="0" containsNumber="1" containsInteger="1" minValue="0" maxValue="1870011592"/>
    </cacheField>
    <cacheField name="Decade" numFmtId="0">
      <sharedItems containsSemiMixedTypes="0" containsString="0" containsNumber="1" containsInteger="1" minValue="1990" maxValue="2020" count="4">
        <n v="1990"/>
        <n v="2000"/>
        <n v="2010"/>
        <n v="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x v="0"/>
    <x v="0"/>
    <n v="390726000000"/>
    <x v="0"/>
    <x v="0"/>
    <n v="997458000000"/>
    <n v="31414000000"/>
    <n v="22522000000"/>
    <n v="-0.94053807899999997"/>
    <n v="74.869900700000002"/>
    <n v="65.861999999999995"/>
    <n v="62.8"/>
    <n v="6.8869999999999996"/>
    <n v="64.676000000000002"/>
    <n v="49.8"/>
    <n v="0"/>
    <n v="667"/>
    <x v="0"/>
  </r>
  <r>
    <x v="0"/>
    <x v="1"/>
    <n v="342609000000"/>
    <x v="1"/>
    <x v="1"/>
    <n v="1041830000000"/>
    <n v="31620000000"/>
    <n v="22947000000"/>
    <n v="0.50040405700000001"/>
    <n v="75.493450109999998"/>
    <n v="66.203000000000003"/>
    <n v="60.1"/>
    <n v="6.8869999999999996"/>
    <n v="64.72"/>
    <n v="48.9"/>
    <n v="3.29E-3"/>
    <n v="6700"/>
    <x v="0"/>
  </r>
  <r>
    <x v="0"/>
    <x v="2"/>
    <n v="328188000000"/>
    <x v="2"/>
    <x v="2"/>
    <n v="1059780000000"/>
    <n v="35793000000"/>
    <n v="23116000000"/>
    <n v="9.3525186999999996E-2"/>
    <n v="76.091087520000002"/>
    <n v="66.539000000000001"/>
    <n v="57.1"/>
    <n v="7.0860000000000003"/>
    <n v="64.981999999999999"/>
    <n v="48.7"/>
    <n v="1.29E-2"/>
    <n v="32000"/>
    <x v="0"/>
  </r>
  <r>
    <x v="0"/>
    <x v="3"/>
    <n v="368296000000"/>
    <x v="3"/>
    <x v="3"/>
    <n v="1138330000000"/>
    <n v="38555000000"/>
    <n v="27604000000"/>
    <n v="4.0669878959999997"/>
    <n v="76.640640289999993"/>
    <n v="66.891999999999996"/>
    <n v="53.9"/>
    <n v="6.03"/>
    <n v="65.227000000000004"/>
    <n v="48.2"/>
    <n v="2.5499999999999998E-2"/>
    <n v="182000"/>
    <x v="0"/>
  </r>
  <r>
    <x v="0"/>
    <x v="4"/>
    <n v="525370000000"/>
    <x v="4"/>
    <x v="4"/>
    <n v="1230680000000"/>
    <n v="43545000000"/>
    <n v="36192000000"/>
    <n v="5.8729220529999999"/>
    <n v="77.171033890000004"/>
    <n v="67.293000000000006"/>
    <n v="50.8"/>
    <n v="6.5789999999999997"/>
    <n v="65.451999999999998"/>
    <n v="48.3"/>
    <n v="3.7699999999999997E-2"/>
    <n v="574009"/>
    <x v="0"/>
  </r>
  <r>
    <x v="0"/>
    <x v="5"/>
    <n v="769333000000"/>
    <x v="5"/>
    <x v="5"/>
    <n v="1309550000000"/>
    <n v="46506000000"/>
    <n v="54137000000"/>
    <n v="7.0140040209999999"/>
    <n v="77.714499989999993"/>
    <n v="67.700999999999993"/>
    <n v="47.7"/>
    <n v="7.0919999999999996"/>
    <n v="65.662999999999997"/>
    <n v="46.1"/>
    <n v="0.105"/>
    <n v="1285533"/>
    <x v="0"/>
  </r>
  <r>
    <x v="0"/>
    <x v="6"/>
    <n v="850426000000"/>
    <x v="6"/>
    <x v="6"/>
    <n v="1362990000000"/>
    <n v="47747000000"/>
    <n v="56981000000"/>
    <n v="1.9847977729999999"/>
    <n v="78.302141550000002"/>
    <n v="68.108000000000004"/>
    <n v="44.7"/>
    <n v="8.0350000000000001"/>
    <n v="63.948999999999998"/>
    <n v="44.5"/>
    <n v="0.45100000000000001"/>
    <n v="2498154"/>
    <x v="0"/>
  </r>
  <r>
    <x v="0"/>
    <x v="7"/>
    <n v="883206000000"/>
    <x v="7"/>
    <x v="7"/>
    <n v="1433560000000"/>
    <n v="52994000000"/>
    <n v="64242000000"/>
    <n v="2.6173997550000001"/>
    <n v="79.000849389999999"/>
    <n v="68.504999999999995"/>
    <n v="41.9"/>
    <n v="9.0030000000000001"/>
    <n v="64.787000000000006"/>
    <n v="43.7"/>
    <n v="0.78600000000000003"/>
    <n v="4550000"/>
    <x v="0"/>
  </r>
  <r>
    <x v="0"/>
    <x v="8"/>
    <n v="863711000000"/>
    <x v="8"/>
    <x v="8"/>
    <n v="1454570000000"/>
    <n v="51140000000"/>
    <n v="60652000000"/>
    <n v="0.187569707"/>
    <n v="79.789068169999993"/>
    <n v="68.847999999999999"/>
    <n v="39.299999999999997"/>
    <n v="10.15"/>
    <n v="64.921999999999997"/>
    <n v="43.8"/>
    <n v="1.48"/>
    <n v="7368218"/>
    <x v="0"/>
  </r>
  <r>
    <x v="0"/>
    <x v="9"/>
    <n v="599642000000"/>
    <x v="9"/>
    <x v="9"/>
    <n v="1482060000000"/>
    <n v="48013000000"/>
    <n v="51767000000"/>
    <n v="0.69045900999999998"/>
    <n v="80.546606130000001"/>
    <n v="69.210999999999999"/>
    <n v="36.799999999999997"/>
    <n v="11.125"/>
    <n v="65.594999999999999"/>
    <n v="44"/>
    <n v="2.04"/>
    <n v="15032698"/>
    <x v="0"/>
  </r>
  <r>
    <x v="0"/>
    <x v="10"/>
    <n v="655448000000"/>
    <x v="10"/>
    <x v="10"/>
    <n v="1582130000000"/>
    <n v="55119000000"/>
    <n v="58643000000"/>
    <n v="3.0526888259999998"/>
    <n v="81.148436540000006"/>
    <n v="69.584000000000003"/>
    <n v="34.4"/>
    <n v="10.888999999999999"/>
    <n v="65.807000000000002"/>
    <n v="42.7"/>
    <n v="2.8706851590000002"/>
    <n v="23188171"/>
    <x v="1"/>
  </r>
  <r>
    <x v="0"/>
    <x v="11"/>
    <n v="559984000000"/>
    <x v="11"/>
    <x v="11"/>
    <n v="1640240000000"/>
    <n v="58287000000"/>
    <n v="58382000000"/>
    <n v="1.186604695"/>
    <n v="81.596045059999994"/>
    <n v="69.98"/>
    <n v="32.200000000000003"/>
    <n v="10.648999999999999"/>
    <n v="66.034000000000006"/>
    <n v="41.3"/>
    <n v="4.5284948690000002"/>
    <n v="28745769"/>
    <x v="1"/>
  </r>
  <r>
    <x v="0"/>
    <x v="12"/>
    <n v="509795000000"/>
    <x v="12"/>
    <x v="12"/>
    <n v="1716600000000"/>
    <n v="60439000000"/>
    <n v="49723000000"/>
    <n v="1.8977427419999999"/>
    <n v="81.994349150000005"/>
    <n v="70.396000000000001"/>
    <n v="30.1"/>
    <n v="10.641"/>
    <n v="66.974999999999994"/>
    <n v="42.9"/>
    <n v="9.1494250860000008"/>
    <n v="34880964"/>
    <x v="1"/>
  </r>
  <r>
    <x v="0"/>
    <x v="13"/>
    <n v="558234000000"/>
    <x v="13"/>
    <x v="13"/>
    <n v="1770460000000"/>
    <n v="73203000000"/>
    <n v="50881000000"/>
    <n v="-2.6542448999999999E-2"/>
    <n v="82.354033580000007"/>
    <n v="70.884"/>
    <n v="28.2"/>
    <n v="11.167999999999999"/>
    <n v="66.897999999999996"/>
    <n v="45.1"/>
    <n v="13.2075861"/>
    <n v="46373266"/>
    <x v="1"/>
  </r>
  <r>
    <x v="0"/>
    <x v="14"/>
    <n v="669289000000"/>
    <x v="14"/>
    <x v="14"/>
    <n v="1922790000000"/>
    <n v="96678000000"/>
    <n v="66433000000"/>
    <n v="3.9123060779999999"/>
    <n v="82.681682480000006"/>
    <n v="71.361000000000004"/>
    <n v="26.3"/>
    <n v="10.071999999999999"/>
    <n v="67.364000000000004"/>
    <n v="45.2"/>
    <n v="19.073672269999999"/>
    <n v="65605000"/>
    <x v="1"/>
  </r>
  <r>
    <x v="0"/>
    <x v="15"/>
    <n v="891634000000"/>
    <x v="15"/>
    <x v="15"/>
    <n v="2046570000000"/>
    <n v="118529000000"/>
    <n v="77628000000"/>
    <n v="3.855949088"/>
    <n v="82.983879959999996"/>
    <n v="71.831999999999994"/>
    <n v="24.6"/>
    <n v="10.551"/>
    <n v="68.05"/>
    <n v="46.1"/>
    <n v="21.022747249999998"/>
    <n v="86210336"/>
    <x v="1"/>
  </r>
  <r>
    <x v="0"/>
    <x v="16"/>
    <n v="1107630000000"/>
    <x v="16"/>
    <x v="16"/>
    <n v="2193270000000"/>
    <n v="137581000000"/>
    <n v="97049000000"/>
    <n v="4.8745376169999997"/>
    <n v="83.267210140000003"/>
    <n v="72.296000000000006"/>
    <n v="23.1"/>
    <n v="9.6920000000000002"/>
    <n v="67.704999999999998"/>
    <n v="46.7"/>
    <n v="28.17840004"/>
    <n v="99918621"/>
    <x v="1"/>
  </r>
  <r>
    <x v="0"/>
    <x v="17"/>
    <n v="1397110000000"/>
    <x v="17"/>
    <x v="17"/>
    <n v="2389430000000"/>
    <n v="159816000000"/>
    <n v="128111000000"/>
    <n v="5.8235904300000003"/>
    <n v="83.538257130000005"/>
    <n v="72.73"/>
    <n v="21.7"/>
    <n v="9.2799999999999994"/>
    <n v="67.295000000000002"/>
    <n v="47.2"/>
    <n v="30.879999160000001"/>
    <n v="120980103"/>
    <x v="1"/>
  </r>
  <r>
    <x v="0"/>
    <x v="18"/>
    <n v="1695860000000"/>
    <x v="18"/>
    <x v="18"/>
    <n v="2559540000000"/>
    <n v="195765000000"/>
    <n v="183921000000"/>
    <n v="5.4021550630000004"/>
    <n v="83.803605059999995"/>
    <n v="73.111000000000004"/>
    <n v="20.5"/>
    <n v="8.2680000000000007"/>
    <n v="67.173000000000002"/>
    <n v="47"/>
    <n v="33.83"/>
    <n v="150641403"/>
    <x v="1"/>
  </r>
  <r>
    <x v="0"/>
    <x v="19"/>
    <n v="1667000000000"/>
    <x v="19"/>
    <x v="19"/>
    <n v="2572080000000"/>
    <n v="151792000000"/>
    <n v="135378000000"/>
    <n v="4.0940373000000001"/>
    <n v="84.06983803"/>
    <n v="73.456999999999994"/>
    <n v="19.5"/>
    <n v="9.4190000000000005"/>
    <n v="67.400999999999996"/>
    <n v="48.9"/>
    <n v="39.22"/>
    <n v="169385584"/>
    <x v="1"/>
  </r>
  <r>
    <x v="0"/>
    <x v="20"/>
    <n v="2208840000000"/>
    <x v="20"/>
    <x v="20"/>
    <n v="2799330000000"/>
    <n v="200434000000"/>
    <n v="193184000000"/>
    <n v="5.673445267"/>
    <n v="84.343846040000003"/>
    <n v="73.778999999999996"/>
    <n v="18.600000000000001"/>
    <n v="8.42"/>
    <n v="66.144999999999996"/>
    <n v="46.8"/>
    <n v="40.65"/>
    <n v="196929978"/>
    <x v="2"/>
  </r>
  <r>
    <x v="0"/>
    <x v="21"/>
    <n v="2616160000000"/>
    <x v="21"/>
    <x v="21"/>
    <n v="2970630000000"/>
    <n v="253666000000"/>
    <n v="238706000000"/>
    <n v="4.1910823600000002"/>
    <n v="84.622575859999998"/>
    <n v="74.046999999999997"/>
    <n v="17.899999999999999"/>
    <n v="7.5780000000000003"/>
    <n v="64.87"/>
    <n v="45.2"/>
    <n v="45.69"/>
    <n v="234357507"/>
    <x v="2"/>
  </r>
  <r>
    <x v="0"/>
    <x v="22"/>
    <n v="2465230000000"/>
    <x v="22"/>
    <x v="22"/>
    <n v="2992140000000"/>
    <n v="239953000000"/>
    <n v="235404000000"/>
    <n v="3.2103545969999998"/>
    <n v="84.897387420000001"/>
    <n v="74.334999999999994"/>
    <n v="17.2"/>
    <n v="7.2510000000000003"/>
    <n v="64.409000000000006"/>
    <n v="43.5"/>
    <n v="48.56"/>
    <n v="248323703"/>
    <x v="2"/>
  </r>
  <r>
    <x v="0"/>
    <x v="23"/>
    <n v="2472820000000"/>
    <x v="23"/>
    <x v="23"/>
    <n v="3120540000000"/>
    <n v="232544000000"/>
    <n v="252282000000"/>
    <n v="3.0165128000000001"/>
    <n v="85.167658540000005"/>
    <n v="74.608999999999995"/>
    <n v="16.7"/>
    <n v="7.0709999999999997"/>
    <n v="64.313999999999993"/>
    <n v="42.3"/>
    <n v="51.04"/>
    <n v="271099799"/>
    <x v="2"/>
  </r>
  <r>
    <x v="0"/>
    <x v="24"/>
    <n v="2456040000000"/>
    <x v="24"/>
    <x v="24"/>
    <n v="3166810000000"/>
    <n v="220923000000"/>
    <n v="240763000000"/>
    <n v="1.913466678"/>
    <n v="85.433136790000006"/>
    <n v="74.822999999999993"/>
    <n v="16.3"/>
    <n v="6.7549999999999999"/>
    <n v="64.039000000000001"/>
    <n v="41.7"/>
    <n v="54.551001880000001"/>
    <n v="280728796"/>
    <x v="2"/>
  </r>
  <r>
    <x v="0"/>
    <x v="25"/>
    <n v="1802210000000"/>
    <x v="25"/>
    <x v="25"/>
    <n v="2989120000000"/>
    <n v="186782000000"/>
    <n v="180460000000"/>
    <n v="-2.8013111140000002"/>
    <n v="85.693569710000006"/>
    <n v="75.105999999999995"/>
    <n v="16"/>
    <n v="8.5380000000000003"/>
    <n v="64.275000000000006"/>
    <n v="43.7"/>
    <n v="58.327951730000002"/>
    <n v="257814274"/>
    <x v="2"/>
  </r>
  <r>
    <x v="0"/>
    <x v="26"/>
    <n v="1795690000000"/>
    <x v="26"/>
    <x v="26"/>
    <n v="2907890000000"/>
    <n v="179526000000"/>
    <n v="145248000000"/>
    <n v="-2.8811570039999999"/>
    <n v="85.948704840000005"/>
    <n v="75.081000000000003"/>
    <n v="16.8"/>
    <n v="11.58"/>
    <n v="64.290000000000006"/>
    <n v="45.4"/>
    <n v="60.872540069999999"/>
    <n v="244067356"/>
    <x v="2"/>
  </r>
  <r>
    <x v="0"/>
    <x v="27"/>
    <n v="2063510000000"/>
    <x v="27"/>
    <x v="27"/>
    <n v="2980290000000"/>
    <n v="214988000000"/>
    <n v="165855000000"/>
    <n v="1.3401608549999999"/>
    <n v="86.198289759999994"/>
    <n v="75.382999999999996"/>
    <n v="15.4"/>
    <n v="12.792"/>
    <n v="64.525000000000006"/>
    <n v="45.3"/>
    <n v="67.471284519999998"/>
    <n v="221269215"/>
    <x v="2"/>
  </r>
  <r>
    <x v="0"/>
    <x v="28"/>
    <n v="1916930000000"/>
    <x v="28"/>
    <x v="28"/>
    <n v="3187190000000"/>
    <n v="231890000000"/>
    <n v="192840000000"/>
    <n v="1.9898414659999999"/>
    <n v="86.442071990000002"/>
    <n v="75.632999999999996"/>
    <n v="15.2"/>
    <n v="12.329000000000001"/>
    <n v="64.501000000000005"/>
    <n v="46.9"/>
    <n v="70.434282539999998"/>
    <n v="209410048"/>
    <x v="2"/>
  </r>
  <r>
    <x v="0"/>
    <x v="29"/>
    <n v="1873290000000"/>
    <x v="29"/>
    <x v="29"/>
    <n v="3333780000000"/>
    <n v="221127000000"/>
    <n v="193162000000"/>
    <n v="1.8699061589999999"/>
    <n v="86.679799110000005"/>
    <n v="75.808999999999997"/>
    <n v="15"/>
    <n v="11.936"/>
    <n v="64.887"/>
    <n v="47.5"/>
    <n v="73.912439910000003"/>
    <n v="202009209"/>
    <x v="2"/>
  </r>
  <r>
    <x v="0"/>
    <x v="30"/>
    <n v="1476110000000"/>
    <x v="30"/>
    <x v="30"/>
    <n v="3359780000000"/>
    <n v="209180000000"/>
    <n v="166336000000"/>
    <n v="-4.358738175"/>
    <n v="86.911218649999995"/>
    <n v="74.506"/>
    <n v="14.9"/>
    <n v="13.696999999999999"/>
    <n v="60.478999999999999"/>
    <n v="50"/>
    <n v="81.342693530000005"/>
    <n v="205834781"/>
    <x v="3"/>
  </r>
  <r>
    <x v="0"/>
    <x v="31"/>
    <n v="1670650000000"/>
    <x v="31"/>
    <x v="31"/>
    <n v="3787770000000"/>
    <n v="280815000000"/>
    <n v="234690000000"/>
    <n v="3.2513845209999999"/>
    <n v="87.136078170000005"/>
    <n v="73.037999999999997"/>
    <n v="14.7"/>
    <n v="13.157999999999999"/>
    <n v="62.456000000000003"/>
    <n v="46.5"/>
    <n v="80.689893139999995"/>
    <n v="219660524"/>
    <x v="3"/>
  </r>
  <r>
    <x v="0"/>
    <x v="32"/>
    <n v="1951920000000"/>
    <x v="32"/>
    <x v="32"/>
    <n v="4180230000000"/>
    <n v="334136000000"/>
    <n v="292245000000"/>
    <n v="3.71"/>
    <n v="87.349556239999998"/>
    <n v="74.872"/>
    <n v="14.6"/>
    <n v="9.2309999999999999"/>
    <n v="63.527000000000001"/>
    <n v="46.5"/>
    <n v="80.527750940000004"/>
    <n v="212925716"/>
    <x v="3"/>
  </r>
  <r>
    <x v="0"/>
    <x v="33"/>
    <n v="2191130000000"/>
    <x v="33"/>
    <x v="33"/>
    <n v="4471040000000"/>
    <n v="339696000000"/>
    <n v="252710000000"/>
    <n v="3.36"/>
    <n v="87.615971020000003"/>
    <n v="75.847999999999999"/>
    <n v="14.4"/>
    <n v="7.9470000000000001"/>
    <n v="62.914999999999999"/>
    <n v="46.5"/>
    <n v="84.150602379999995"/>
    <n v="213294905"/>
    <x v="3"/>
  </r>
  <r>
    <x v="0"/>
    <x v="34"/>
    <n v="2185820000000"/>
    <x v="34"/>
    <x v="34"/>
    <n v="4735730000000"/>
    <n v="337046000000"/>
    <n v="277954000000"/>
    <n v="4.17"/>
    <n v="87.89585495"/>
    <n v="76.022999999999996"/>
    <n v="14.2"/>
    <n v="6.8010000000000002"/>
    <n v="63.338999999999999"/>
    <n v="46.5"/>
    <n v="84.463472269999997"/>
    <n v="216083460"/>
    <x v="3"/>
  </r>
  <r>
    <x v="1"/>
    <x v="0"/>
    <n v="361560000000"/>
    <x v="35"/>
    <x v="35"/>
    <n v="1124710000000"/>
    <n v="62091000000"/>
    <n v="53345000000"/>
    <n v="10.535489800000001"/>
    <n v="26.1957016"/>
    <n v="68.155000000000001"/>
    <n v="53.6"/>
    <n v="2.37"/>
    <n v="79.17"/>
    <n v="33.9"/>
    <n v="0"/>
    <n v="18319"/>
    <x v="0"/>
  </r>
  <r>
    <x v="1"/>
    <x v="1"/>
    <n v="384510000000"/>
    <x v="36"/>
    <x v="36"/>
    <n v="1271600000000"/>
    <n v="71910000000"/>
    <n v="63791000000"/>
    <n v="10.535489800000001"/>
    <n v="26.94024658"/>
    <n v="68.61"/>
    <n v="53"/>
    <n v="2.37"/>
    <n v="78.706000000000003"/>
    <n v="33.1"/>
    <n v="5.6333333333333298E-5"/>
    <n v="47544"/>
    <x v="0"/>
  </r>
  <r>
    <x v="1"/>
    <x v="2"/>
    <n v="428502000000"/>
    <x v="37"/>
    <x v="37"/>
    <n v="1486560000000"/>
    <n v="84940000000"/>
    <n v="80585000000"/>
    <n v="10.535489800000001"/>
    <n v="27.459869380000001"/>
    <n v="69.058999999999997"/>
    <n v="52.1"/>
    <n v="2.37"/>
    <n v="78.233999999999995"/>
    <n v="32.799999999999997"/>
    <n v="1.12666666666666E-4"/>
    <n v="176943"/>
    <x v="0"/>
  </r>
  <r>
    <x v="1"/>
    <x v="3"/>
    <n v="446557000000"/>
    <x v="38"/>
    <x v="38"/>
    <n v="1733770000000"/>
    <n v="91744000000"/>
    <n v="103959000000"/>
    <n v="10.535489800000001"/>
    <n v="27.990076070000001"/>
    <n v="69.492000000000004"/>
    <n v="50.8"/>
    <n v="2.69"/>
    <n v="77.754000000000005"/>
    <n v="31.5"/>
    <n v="1.6899999999999999E-4"/>
    <n v="638000"/>
    <x v="0"/>
  </r>
  <r>
    <x v="1"/>
    <x v="4"/>
    <n v="566930000000"/>
    <x v="39"/>
    <x v="39"/>
    <n v="2002280000000"/>
    <n v="121006000000"/>
    <n v="115615000000"/>
    <n v="10.535489800000001"/>
    <n v="28.509803770000001"/>
    <n v="69.834999999999994"/>
    <n v="49.2"/>
    <n v="2.9"/>
    <n v="77.266999999999996"/>
    <n v="31.1"/>
    <n v="1.17E-3"/>
    <n v="1568000"/>
    <x v="0"/>
  </r>
  <r>
    <x v="1"/>
    <x v="5"/>
    <n v="738191000000"/>
    <x v="40"/>
    <x v="40"/>
    <n v="2269800000000"/>
    <n v="148780000000"/>
    <n v="132084000000"/>
    <n v="10.535489800000001"/>
    <n v="29.04038048"/>
    <n v="70.363"/>
    <n v="47.4"/>
    <n v="3"/>
    <n v="76.772999999999996"/>
    <n v="29.4"/>
    <n v="4.9500000000000004E-3"/>
    <n v="3629000"/>
    <x v="0"/>
  </r>
  <r>
    <x v="1"/>
    <x v="6"/>
    <n v="868524000000"/>
    <x v="41"/>
    <x v="41"/>
    <n v="2541940000000"/>
    <n v="151048000000"/>
    <n v="138833000000"/>
    <n v="10.535489800000001"/>
    <n v="30.479864119999998"/>
    <n v="70.822999999999993"/>
    <n v="45.5"/>
    <n v="3.12"/>
    <n v="76.271000000000001"/>
    <n v="30.5"/>
    <n v="1.3100000000000001E-2"/>
    <n v="6853000"/>
    <x v="0"/>
  </r>
  <r>
    <x v="1"/>
    <x v="7"/>
    <n v="967754000000"/>
    <x v="42"/>
    <x v="42"/>
    <n v="2825930000000"/>
    <n v="182792000000"/>
    <n v="142370000000"/>
    <n v="6.7247493409999999"/>
    <n v="31.909954070000001"/>
    <n v="71.227000000000004"/>
    <n v="43.5"/>
    <n v="3.23"/>
    <n v="75.762"/>
    <n v="30"/>
    <n v="3.2399999999999998E-2"/>
    <n v="13233000"/>
    <x v="0"/>
  </r>
  <r>
    <x v="1"/>
    <x v="8"/>
    <n v="1037130000000"/>
    <x v="43"/>
    <x v="43"/>
    <n v="3084040000000"/>
    <n v="183712000000"/>
    <n v="140237000000"/>
    <n v="8.9594293589999996"/>
    <n v="33.35016632"/>
    <n v="71.600999999999999"/>
    <n v="41.4"/>
    <n v="3.24"/>
    <n v="75.245999999999995"/>
    <n v="29.5"/>
    <n v="0.16900000000000001"/>
    <n v="23863000"/>
    <x v="0"/>
  </r>
  <r>
    <x v="1"/>
    <x v="9"/>
    <n v="1103840000000"/>
    <x v="44"/>
    <x v="44"/>
    <n v="3369670000000"/>
    <n v="194931000000"/>
    <n v="165699000000"/>
    <n v="11.72045818"/>
    <n v="34.779705049999997"/>
    <n v="71.951999999999998"/>
    <n v="39.1"/>
    <n v="3.25"/>
    <n v="74.721999999999994"/>
    <n v="30.3"/>
    <n v="0.70799999999999996"/>
    <n v="43296000"/>
    <x v="0"/>
  </r>
  <r>
    <x v="1"/>
    <x v="10"/>
    <n v="1223750000000"/>
    <x v="45"/>
    <x v="45"/>
    <n v="3741890000000"/>
    <n v="249203000000"/>
    <n v="225094000000"/>
    <n v="11.18586575"/>
    <n v="36.432023469999997"/>
    <n v="72.287999999999997"/>
    <n v="36.6"/>
    <n v="3.26"/>
    <n v="74.19"/>
    <n v="29.6"/>
    <n v="1.7759132070000001"/>
    <n v="85260000"/>
    <x v="1"/>
  </r>
  <r>
    <x v="1"/>
    <x v="11"/>
    <n v="1355040000000"/>
    <x v="46"/>
    <x v="46"/>
    <n v="4144200000000"/>
    <n v="266098000000"/>
    <n v="243553000000"/>
    <n v="6.8055473600000003"/>
    <n v="37.659744259999997"/>
    <n v="72.674999999999997"/>
    <n v="34.1"/>
    <n v="3.8"/>
    <n v="73.878"/>
    <n v="28.4"/>
    <n v="2.6396502150000001"/>
    <n v="144820000"/>
    <x v="1"/>
  </r>
  <r>
    <x v="1"/>
    <x v="12"/>
    <n v="1489820000000"/>
    <x v="47"/>
    <x v="47"/>
    <n v="4597620000000"/>
    <n v="325596000000"/>
    <n v="295170000000"/>
    <n v="8.8805204149999994"/>
    <n v="39.089782710000001"/>
    <n v="73.034000000000006"/>
    <n v="31.4"/>
    <n v="4.24"/>
    <n v="73.563000000000002"/>
    <n v="27"/>
    <n v="4.5957043310000003"/>
    <n v="206005000"/>
    <x v="1"/>
  </r>
  <r>
    <x v="1"/>
    <x v="13"/>
    <n v="1683900000000"/>
    <x v="48"/>
    <x v="48"/>
    <n v="5162770000000"/>
    <n v="438228000000"/>
    <n v="412760000000"/>
    <n v="6.1434672560000001"/>
    <n v="40.530231479999998"/>
    <n v="73.385000000000005"/>
    <n v="28.8"/>
    <n v="4.58"/>
    <n v="73.245999999999995"/>
    <n v="23.9"/>
    <n v="6.2"/>
    <n v="269953000"/>
    <x v="1"/>
  </r>
  <r>
    <x v="1"/>
    <x v="14"/>
    <n v="1984200000000"/>
    <x v="49"/>
    <x v="49"/>
    <n v="5838730000000"/>
    <n v="593326000000"/>
    <n v="561229000000"/>
    <n v="7.4999567249999997"/>
    <n v="41.760013579999999"/>
    <n v="73.727000000000004"/>
    <n v="26.3"/>
    <n v="4.49"/>
    <n v="72.927000000000007"/>
    <n v="20.2"/>
    <n v="7.3"/>
    <n v="334824000"/>
    <x v="1"/>
  </r>
  <r>
    <x v="1"/>
    <x v="15"/>
    <n v="2317550000000"/>
    <x v="50"/>
    <x v="50"/>
    <n v="6711790000000"/>
    <n v="761953000000"/>
    <n v="659953000000"/>
    <n v="11.51996301"/>
    <n v="42.989997860000003"/>
    <n v="74.084999999999994"/>
    <n v="24"/>
    <n v="4.5199999999999996"/>
    <n v="72.605000000000004"/>
    <n v="17.399999999999999"/>
    <n v="8.5232570029999994"/>
    <n v="393406000"/>
    <x v="1"/>
  </r>
  <r>
    <x v="1"/>
    <x v="16"/>
    <n v="2791500000000"/>
    <x v="51"/>
    <x v="51"/>
    <n v="7795700000000"/>
    <n v="968978000000"/>
    <n v="791461000000"/>
    <n v="9.7392172929999994"/>
    <n v="44.343009950000003"/>
    <n v="74.403999999999996"/>
    <n v="21.9"/>
    <n v="4.43"/>
    <n v="72.281000000000006"/>
    <n v="16.399999999999999"/>
    <n v="10.523152619999999"/>
    <n v="461058000"/>
    <x v="1"/>
  </r>
  <r>
    <x v="1"/>
    <x v="17"/>
    <n v="3604060000000"/>
    <x v="52"/>
    <x v="52"/>
    <n v="9139880000000"/>
    <n v="1220460000000"/>
    <n v="956116000000"/>
    <n v="12.275004750000001"/>
    <n v="45.889244079999997"/>
    <n v="74.789000000000001"/>
    <n v="20.100000000000001"/>
    <n v="4.3499999999999996"/>
    <n v="71.953999999999994"/>
    <n v="14.9"/>
    <n v="16"/>
    <n v="547306000"/>
    <x v="1"/>
  </r>
  <r>
    <x v="1"/>
    <x v="18"/>
    <n v="4667350000000"/>
    <x v="53"/>
    <x v="53"/>
    <n v="10216900000000"/>
    <n v="1430690000000"/>
    <n v="1132570000000"/>
    <n v="7.8796339270000004"/>
    <n v="46.989505770000001"/>
    <n v="74.832999999999998"/>
    <n v="18.5"/>
    <n v="4.59"/>
    <n v="71.625"/>
    <n v="14.1"/>
    <n v="22.6"/>
    <n v="641245000"/>
    <x v="1"/>
  </r>
  <r>
    <x v="1"/>
    <x v="19"/>
    <n v="5189580000000"/>
    <x v="54"/>
    <x v="54"/>
    <n v="11246500000000"/>
    <n v="1201610000000"/>
    <n v="1005920000000"/>
    <n v="10.04390665"/>
    <n v="48.341705320000003"/>
    <n v="75.316999999999993"/>
    <n v="17.100000000000001"/>
    <n v="4.72"/>
    <n v="71.293999999999997"/>
    <n v="13.4"/>
    <n v="28.9"/>
    <n v="747214000"/>
    <x v="1"/>
  </r>
  <r>
    <x v="1"/>
    <x v="20"/>
    <n v="6192560000000"/>
    <x v="55"/>
    <x v="55"/>
    <n v="12589300000000"/>
    <n v="1577750000000"/>
    <n v="1396250000000"/>
    <n v="9.367715896"/>
    <n v="49.234027060000003"/>
    <n v="75.668000000000006"/>
    <n v="15.7"/>
    <n v="4.53"/>
    <n v="70.959999999999994"/>
    <n v="12.3"/>
    <n v="34.299999999999997"/>
    <n v="859003000"/>
    <x v="2"/>
  </r>
  <r>
    <x v="1"/>
    <x v="21"/>
    <n v="7671760000000"/>
    <x v="56"/>
    <x v="56"/>
    <n v="14064800000000"/>
    <n v="1898380000000"/>
    <n v="1743480000000"/>
    <n v="11.599488579999999"/>
    <n v="51.83002853"/>
    <n v="75.888999999999996"/>
    <n v="14.6"/>
    <n v="4.55"/>
    <n v="70.86"/>
    <n v="11.3"/>
    <n v="38.299999999999997"/>
    <n v="986253000"/>
    <x v="2"/>
  </r>
  <r>
    <x v="1"/>
    <x v="22"/>
    <n v="8673660000000"/>
    <x v="57"/>
    <x v="57"/>
    <n v="15465200000000"/>
    <n v="2048710000000"/>
    <n v="1818410000000"/>
    <n v="7.8892123820000002"/>
    <n v="53.10031128"/>
    <n v="76.2"/>
    <n v="13.5"/>
    <n v="4.58"/>
    <n v="70.41"/>
    <n v="11.5"/>
    <n v="42.300098419999998"/>
    <n v="1112155000"/>
    <x v="2"/>
  </r>
  <r>
    <x v="1"/>
    <x v="23"/>
    <n v="9743120000000"/>
    <x v="58"/>
    <x v="58"/>
    <n v="16670200000000"/>
    <n v="2209010000000"/>
    <n v="1949990000000"/>
    <n v="7.1158502969999997"/>
    <n v="54.490001679999999"/>
    <n v="76.451999999999998"/>
    <n v="12.5"/>
    <n v="4.5999999999999996"/>
    <n v="69.97"/>
    <n v="11.5"/>
    <n v="45.799999239999998"/>
    <n v="1229113000"/>
    <x v="2"/>
  </r>
  <r>
    <x v="1"/>
    <x v="24"/>
    <n v="10674500000000"/>
    <x v="59"/>
    <x v="59"/>
    <n v="17754100000000"/>
    <n v="2342290000000"/>
    <n v="1959230000000"/>
    <n v="7.7694711060000001"/>
    <n v="55.750255580000001"/>
    <n v="76.713999999999999"/>
    <n v="11.6"/>
    <n v="4.63"/>
    <n v="69.650000000000006"/>
    <n v="11.9"/>
    <n v="47.900001529999997"/>
    <n v="1286093000"/>
    <x v="2"/>
  </r>
  <r>
    <x v="1"/>
    <x v="25"/>
    <n v="11280800000000"/>
    <x v="60"/>
    <x v="60"/>
    <n v="18577500000000"/>
    <n v="2273470000000"/>
    <n v="1679570000000"/>
    <n v="8.8247265549999998"/>
    <n v="57.32978439"/>
    <n v="76.974999999999994"/>
    <n v="10.7"/>
    <n v="4.6500000000000004"/>
    <n v="69.3"/>
    <n v="12.2"/>
    <n v="50.299999239999998"/>
    <n v="1291984200"/>
    <x v="2"/>
  </r>
  <r>
    <x v="1"/>
    <x v="26"/>
    <n v="11456000000000"/>
    <x v="61"/>
    <x v="61"/>
    <n v="19647300000000"/>
    <n v="2097630000000"/>
    <n v="1587930000000"/>
    <n v="8.191498975"/>
    <n v="58.839923859999999"/>
    <n v="77.213999999999999"/>
    <n v="10"/>
    <n v="4.5599999999999996"/>
    <n v="68.88"/>
    <n v="12.6"/>
    <n v="53.2"/>
    <n v="1364934000"/>
    <x v="2"/>
  </r>
  <r>
    <x v="1"/>
    <x v="27"/>
    <n v="12537600000000"/>
    <x v="62"/>
    <x v="62"/>
    <n v="20974600000000"/>
    <n v="2263350000000"/>
    <n v="1843790000000"/>
    <n v="6.8682279900000003"/>
    <n v="60.240268710000002"/>
    <n v="77.234999999999999"/>
    <n v="9.3000000000000007"/>
    <n v="4.47"/>
    <n v="68.349999999999994"/>
    <n v="13.1"/>
    <n v="54.3"/>
    <n v="1469882500"/>
    <x v="2"/>
  </r>
  <r>
    <x v="1"/>
    <x v="28"/>
    <n v="14147800000000"/>
    <x v="63"/>
    <x v="63"/>
    <n v="22862500000000"/>
    <n v="2486700000000"/>
    <n v="2135750000000"/>
    <n v="7.9080269129999996"/>
    <n v="61.500198359999999"/>
    <n v="77.709000000000003"/>
    <n v="8.6"/>
    <n v="4.3099999999999996"/>
    <n v="67.81"/>
    <n v="13.5"/>
    <n v="65.358398440000002"/>
    <n v="1649301700"/>
    <x v="2"/>
  </r>
  <r>
    <x v="1"/>
    <x v="29"/>
    <n v="14560200000000"/>
    <x v="64"/>
    <x v="64"/>
    <n v="24777600000000"/>
    <n v="2499460000000"/>
    <n v="2078390000000"/>
    <n v="6.2401060939999997"/>
    <n v="62.709915160000001"/>
    <n v="77.94"/>
    <n v="8"/>
    <n v="4.5599999999999996"/>
    <n v="67.38"/>
    <n v="14.3"/>
    <n v="64.080881300000001"/>
    <n v="1746238000"/>
    <x v="2"/>
  </r>
  <r>
    <x v="1"/>
    <x v="30"/>
    <n v="14996400000000"/>
    <x v="65"/>
    <x v="65"/>
    <n v="25777200000000"/>
    <n v="2589950000000"/>
    <n v="2065960000000"/>
    <n v="-0.175990641"/>
    <n v="63.523423029999996"/>
    <n v="78.019000000000005"/>
    <n v="7.5"/>
    <n v="5"/>
    <n v="65.721000000000004"/>
    <n v="14.9"/>
    <n v="70.052759980000005"/>
    <n v="1718411000"/>
    <x v="3"/>
  </r>
  <r>
    <x v="1"/>
    <x v="31"/>
    <n v="18201700000000"/>
    <x v="66"/>
    <x v="66"/>
    <n v="29438200000000"/>
    <n v="3316020000000"/>
    <n v="2679410000000"/>
    <n v="9.2350893210000002"/>
    <n v="64.721076969999999"/>
    <n v="78.117000000000004"/>
    <n v="7"/>
    <n v="4.55"/>
    <n v="67.11"/>
    <n v="15.2"/>
    <n v="73.053235169999994"/>
    <n v="1733006000"/>
    <x v="3"/>
  </r>
  <r>
    <x v="1"/>
    <x v="32"/>
    <n v="18316800000000"/>
    <x v="67"/>
    <x v="67"/>
    <n v="32525500000000"/>
    <n v="3544430000000"/>
    <n v="2706510000000"/>
    <n v="2.753604648"/>
    <n v="65.217636110000001"/>
    <n v="78.201999999999998"/>
    <n v="6.6"/>
    <n v="4.9800000000000004"/>
    <n v="65.8"/>
    <n v="15.2"/>
    <n v="75.611316029999998"/>
    <n v="1770005314"/>
    <x v="3"/>
  </r>
  <r>
    <x v="1"/>
    <x v="33"/>
    <n v="18270400000000"/>
    <x v="68"/>
    <x v="68"/>
    <n v="35520400000000"/>
    <n v="3379040000000"/>
    <n v="2556940000000"/>
    <n v="8.2907677910000004"/>
    <n v="65.530144800000002"/>
    <n v="77.953000000000003"/>
    <n v="6.1"/>
    <n v="4.67"/>
    <n v="65.83"/>
    <n v="15.2"/>
    <n v="90.6"/>
    <n v="1824422700"/>
    <x v="3"/>
  </r>
  <r>
    <x v="1"/>
    <x v="34"/>
    <n v="18743800000000"/>
    <x v="69"/>
    <x v="69"/>
    <n v="38190100000000"/>
    <n v="3576650000000"/>
    <n v="2584910000000"/>
    <n v="3.856596433"/>
    <n v="65.894698099999999"/>
    <n v="78.016999999999996"/>
    <n v="5.7"/>
    <n v="4.59"/>
    <n v="64.91"/>
    <n v="15.2"/>
    <n v="92"/>
    <n v="1870011592"/>
    <x v="3"/>
  </r>
  <r>
    <x v="2"/>
    <x v="0"/>
    <n v="320979000000"/>
    <x v="70"/>
    <x v="70"/>
    <n v="1048330000000"/>
    <n v="17969000000"/>
    <n v="23580000000"/>
    <n v="4.3108814369999999"/>
    <n v="25.57840173"/>
    <n v="58.618000000000002"/>
    <n v="127"/>
    <n v="7.641"/>
    <n v="57.936999999999998"/>
    <n v="53"/>
    <n v="0"/>
    <n v="0"/>
    <x v="0"/>
  </r>
  <r>
    <x v="2"/>
    <x v="1"/>
    <n v="270105000000"/>
    <x v="71"/>
    <x v="71"/>
    <n v="1095240000000"/>
    <n v="17727000000"/>
    <n v="20448000000"/>
    <n v="1.8221871540000001"/>
    <n v="25.779761090000001"/>
    <n v="59.031999999999996"/>
    <n v="123.4"/>
    <n v="7.641"/>
    <n v="57.966000000000001"/>
    <n v="52"/>
    <n v="5.5500000000000001E-5"/>
    <n v="0"/>
    <x v="0"/>
  </r>
  <r>
    <x v="2"/>
    <x v="2"/>
    <n v="288208000000"/>
    <x v="72"/>
    <x v="72"/>
    <n v="1181610000000"/>
    <n v="19628000000"/>
    <n v="23579000000"/>
    <n v="2.7021183940000002"/>
    <n v="25.980857669999999"/>
    <n v="59.445"/>
    <n v="119.9"/>
    <n v="7.649"/>
    <n v="57.997"/>
    <n v="51.5"/>
    <n v="1.11E-4"/>
    <n v="0"/>
    <x v="0"/>
  </r>
  <r>
    <x v="2"/>
    <x v="3"/>
    <n v="279296000000"/>
    <x v="73"/>
    <x v="73"/>
    <n v="1267080000000"/>
    <n v="21572000000"/>
    <n v="22788000000"/>
    <n v="4.5730807330000003"/>
    <n v="26.176781470000002"/>
    <n v="59.823"/>
    <n v="116.5"/>
    <n v="7.6619999999999999"/>
    <n v="58.027000000000001"/>
    <n v="51.5"/>
    <n v="2.1800000000000001E-4"/>
    <n v="0"/>
    <x v="0"/>
  </r>
  <r>
    <x v="2"/>
    <x v="4"/>
    <n v="327275000000"/>
    <x v="74"/>
    <x v="74"/>
    <n v="1380310000000"/>
    <n v="25022000000"/>
    <n v="26843000000"/>
    <n v="4.3588241099999996"/>
    <n v="26.37101886"/>
    <n v="60.237000000000002"/>
    <n v="113.1"/>
    <n v="7.593"/>
    <n v="58.063000000000002"/>
    <n v="50.5"/>
    <n v="1.07E-3"/>
    <n v="0"/>
    <x v="0"/>
  </r>
  <r>
    <x v="2"/>
    <x v="5"/>
    <n v="360282000000"/>
    <x v="75"/>
    <x v="75"/>
    <n v="1516000000000"/>
    <n v="30630000000"/>
    <n v="34707000000"/>
    <n v="6.328311985"/>
    <n v="26.566177209999999"/>
    <n v="60.63"/>
    <n v="109.7"/>
    <n v="7.57"/>
    <n v="58.395000000000003"/>
    <n v="49.5"/>
    <n v="2.6200000000000001E-2"/>
    <n v="76680"/>
    <x v="0"/>
  </r>
  <r>
    <x v="2"/>
    <x v="6"/>
    <n v="392897000000"/>
    <x v="76"/>
    <x v="76"/>
    <n v="1660300000000"/>
    <n v="33105000000"/>
    <n v="37942000000"/>
    <n v="7.328628932"/>
    <n v="26.764863869999999"/>
    <n v="61.027000000000001"/>
    <n v="106.2"/>
    <n v="7.5369999999999999"/>
    <n v="58.728999999999999"/>
    <n v="49.1"/>
    <n v="4.6300000000000001E-2"/>
    <n v="327967"/>
    <x v="0"/>
  </r>
  <r>
    <x v="2"/>
    <x v="7"/>
    <n v="415868000000"/>
    <x v="77"/>
    <x v="77"/>
    <n v="1757330000000"/>
    <n v="35008000000"/>
    <n v="41432000000"/>
    <n v="4.1338281090000004"/>
    <n v="26.969686200000002"/>
    <n v="61.439"/>
    <n v="102.7"/>
    <n v="7.5739999999999998"/>
    <n v="59.066000000000003"/>
    <n v="47.9"/>
    <n v="7.0800000000000002E-2"/>
    <n v="881839"/>
    <x v="0"/>
  </r>
  <r>
    <x v="2"/>
    <x v="8"/>
    <n v="421351000000"/>
    <x v="78"/>
    <x v="78"/>
    <n v="1886980000000"/>
    <n v="33437000000"/>
    <n v="42980000000"/>
    <n v="7.3431767739999998"/>
    <n v="27.183251550000001"/>
    <n v="61.851999999999997"/>
    <n v="99.1"/>
    <n v="7.5960000000000001"/>
    <n v="59.404000000000003"/>
    <n v="48"/>
    <n v="0.13900000000000001"/>
    <n v="1195400"/>
    <x v="0"/>
  </r>
  <r>
    <x v="2"/>
    <x v="9"/>
    <n v="458821000000"/>
    <x v="79"/>
    <x v="79"/>
    <n v="2082960000000"/>
    <n v="35667000000"/>
    <n v="46979000000"/>
    <n v="6.9602393380000001"/>
    <n v="27.408167280000001"/>
    <n v="62.283999999999999"/>
    <n v="95.4"/>
    <n v="7.5830000000000002"/>
    <n v="59.743000000000002"/>
    <n v="47.1"/>
    <n v="0.27300000000000002"/>
    <n v="1884311"/>
    <x v="0"/>
  </r>
  <r>
    <x v="2"/>
    <x v="10"/>
    <n v="468396000000"/>
    <x v="80"/>
    <x v="80"/>
    <n v="2211970000000"/>
    <n v="42379000000"/>
    <n v="51523000000"/>
    <n v="3.106123872"/>
    <n v="27.647040749999999"/>
    <n v="62.749000000000002"/>
    <n v="91.8"/>
    <n v="7.5890000000000004"/>
    <n v="60.079000000000001"/>
    <n v="46.9"/>
    <n v="0.52753245000000004"/>
    <n v="3577095"/>
    <x v="1"/>
  </r>
  <r>
    <x v="2"/>
    <x v="11"/>
    <n v="485440000000"/>
    <x v="81"/>
    <x v="81"/>
    <n v="2370880000000"/>
    <n v="43361000000"/>
    <n v="50392000000"/>
    <n v="5.3810200699999999"/>
    <n v="27.902865210000002"/>
    <n v="63.158000000000001"/>
    <n v="88.1"/>
    <n v="7.6109999999999998"/>
    <n v="59.923000000000002"/>
    <n v="47.1"/>
    <n v="0.66014637700000001"/>
    <n v="6540000"/>
    <x v="1"/>
  </r>
  <r>
    <x v="2"/>
    <x v="12"/>
    <n v="514939000000"/>
    <x v="82"/>
    <x v="82"/>
    <n v="2499310000000"/>
    <n v="49250000000"/>
    <n v="56517000000"/>
    <n v="2.3989553269999999"/>
    <n v="28.175687889999999"/>
    <n v="63.649000000000001"/>
    <n v="84.6"/>
    <n v="7.681"/>
    <n v="59.765000000000001"/>
    <n v="45.8"/>
    <n v="1.5378755820000001"/>
    <n v="13000000"/>
    <x v="1"/>
  </r>
  <r>
    <x v="2"/>
    <x v="13"/>
    <n v="607701000000"/>
    <x v="83"/>
    <x v="83"/>
    <n v="2748990000000"/>
    <n v="58963000000"/>
    <n v="72558000000"/>
    <n v="5.4515978479999996"/>
    <n v="28.466028770000001"/>
    <n v="64.085999999999999"/>
    <n v="81.099999999999994"/>
    <n v="7.633"/>
    <n v="59.606000000000002"/>
    <n v="45.6"/>
    <n v="1.6864899710000001"/>
    <n v="33690000"/>
    <x v="1"/>
  </r>
  <r>
    <x v="2"/>
    <x v="14"/>
    <n v="709153000000"/>
    <x v="84"/>
    <x v="84"/>
    <n v="3046570000000"/>
    <n v="76649000000"/>
    <n v="99775000000"/>
    <n v="4.9958929999999997"/>
    <n v="28.772606719999999"/>
    <n v="64.483999999999995"/>
    <n v="77.7"/>
    <n v="7.5979999999999999"/>
    <n v="59.445"/>
    <n v="44.9"/>
    <n v="1.976136492"/>
    <n v="52220000"/>
    <x v="1"/>
  </r>
  <r>
    <x v="2"/>
    <x v="15"/>
    <n v="820384000000"/>
    <x v="85"/>
    <x v="85"/>
    <n v="3391060000000"/>
    <n v="99616000000"/>
    <n v="142870000000"/>
    <n v="7.6540710020000002"/>
    <n v="29.09454972"/>
    <n v="64.938999999999993"/>
    <n v="74.3"/>
    <n v="7.5510000000000002"/>
    <n v="59.289000000000001"/>
    <n v="44.2"/>
    <n v="2.3880999090000001"/>
    <n v="90140000"/>
    <x v="1"/>
  </r>
  <r>
    <x v="2"/>
    <x v="16"/>
    <n v="940260000000"/>
    <x v="86"/>
    <x v="86"/>
    <n v="3777410000000"/>
    <n v="121808000000"/>
    <n v="178410000000"/>
    <n v="4.8062886010000003"/>
    <n v="29.430985710000002"/>
    <n v="65.373000000000005"/>
    <n v="71"/>
    <n v="7.5529999999999999"/>
    <n v="58.344999999999999"/>
    <n v="43.2"/>
    <n v="2.8054998649999998"/>
    <n v="166050000"/>
    <x v="1"/>
  </r>
  <r>
    <x v="2"/>
    <x v="17"/>
    <n v="1216740000000"/>
    <x v="87"/>
    <x v="87"/>
    <n v="4176970000000"/>
    <n v="150159000000"/>
    <n v="229370000000"/>
    <n v="7.593801129"/>
    <n v="29.781042679999999"/>
    <n v="65.802999999999997"/>
    <n v="67.8"/>
    <n v="7.5620000000000003"/>
    <n v="57.417999999999999"/>
    <n v="41.5"/>
    <n v="3.95"/>
    <n v="233620000"/>
    <x v="1"/>
  </r>
  <r>
    <x v="2"/>
    <x v="18"/>
    <n v="1198900000000"/>
    <x v="88"/>
    <x v="88"/>
    <n v="4388860000000"/>
    <n v="194828000000"/>
    <n v="321032000000"/>
    <n v="5.4763432359999999"/>
    <n v="30.143848590000001"/>
    <n v="66.247"/>
    <n v="64.5"/>
    <n v="7.6289999999999996"/>
    <n v="56.511000000000003"/>
    <n v="39.4"/>
    <n v="4.38"/>
    <n v="346890000"/>
    <x v="1"/>
  </r>
  <r>
    <x v="2"/>
    <x v="19"/>
    <n v="1341890000000"/>
    <x v="89"/>
    <x v="89"/>
    <n v="4763100000000"/>
    <n v="164909000000"/>
    <n v="257202000000"/>
    <n v="6.438437425"/>
    <n v="30.518531400000001"/>
    <n v="66.7"/>
    <n v="61.2"/>
    <n v="7.6360000000000001"/>
    <n v="55.627000000000002"/>
    <n v="37.4"/>
    <n v="5.12"/>
    <n v="525090000"/>
    <x v="1"/>
  </r>
  <r>
    <x v="2"/>
    <x v="20"/>
    <n v="1675620000000"/>
    <x v="90"/>
    <x v="90"/>
    <n v="5230660000000"/>
    <n v="226351000000"/>
    <n v="350233000000"/>
    <n v="6.4688995719999998"/>
    <n v="30.904219080000001"/>
    <n v="67.162000000000006"/>
    <n v="58.1"/>
    <n v="7.6310000000000002"/>
    <n v="54.765999999999998"/>
    <n v="36.200000000000003"/>
    <n v="7.5"/>
    <n v="752190000"/>
    <x v="2"/>
  </r>
  <r>
    <x v="2"/>
    <x v="21"/>
    <n v="1823050000000"/>
    <x v="91"/>
    <x v="91"/>
    <n v="5618380000000"/>
    <n v="302905000000"/>
    <n v="464462000000"/>
    <n v="7.2741417909999999"/>
    <n v="31.27465029"/>
    <n v="67.623000000000005"/>
    <n v="55"/>
    <n v="7.609"/>
    <n v="54.131"/>
    <n v="35"/>
    <n v="10.07"/>
    <n v="893862478"/>
    <x v="2"/>
  </r>
  <r>
    <x v="2"/>
    <x v="22"/>
    <n v="1827640000000"/>
    <x v="92"/>
    <x v="92"/>
    <n v="6162750000000"/>
    <n v="296828000000"/>
    <n v="489694000000"/>
    <n v="4.6698385910000004"/>
    <n v="31.58989356"/>
    <n v="68.075999999999993"/>
    <n v="52"/>
    <n v="7.6449999999999996"/>
    <n v="53.509"/>
    <n v="34.799999999999997"/>
    <n v="11.100000380000001"/>
    <n v="864720917"/>
    <x v="2"/>
  </r>
  <r>
    <x v="2"/>
    <x v="23"/>
    <n v="1856720000000"/>
    <x v="93"/>
    <x v="93"/>
    <n v="6497740000000"/>
    <n v="314848000000"/>
    <n v="465397000000"/>
    <n v="6.2372546409999998"/>
    <n v="31.909678920000001"/>
    <n v="68.498999999999995"/>
    <n v="49.1"/>
    <n v="7.6779999999999999"/>
    <n v="53.363999999999997"/>
    <n v="34.9"/>
    <n v="12.30000019"/>
    <n v="886304245"/>
    <x v="2"/>
  </r>
  <r>
    <x v="2"/>
    <x v="24"/>
    <n v="2039130000000"/>
    <x v="94"/>
    <x v="94"/>
    <n v="6812810000000"/>
    <n v="322694000000"/>
    <n v="462910000000"/>
    <n v="6.572483107"/>
    <n v="32.228823339999998"/>
    <n v="68.932000000000002"/>
    <n v="46.4"/>
    <n v="7.6559999999999997"/>
    <n v="53.206000000000003"/>
    <n v="33.9"/>
    <n v="13.5"/>
    <n v="944008677"/>
    <x v="2"/>
  </r>
  <r>
    <x v="2"/>
    <x v="25"/>
    <n v="2103590000000"/>
    <x v="95"/>
    <x v="95"/>
    <n v="7204580000000"/>
    <n v="267951000000"/>
    <n v="394131000000"/>
    <n v="7.8574527239999998"/>
    <n v="32.547299000000002"/>
    <n v="69.325999999999993"/>
    <n v="43.7"/>
    <n v="7.6289999999999996"/>
    <n v="53.030999999999999"/>
    <n v="33.4"/>
    <n v="14.899999619999999"/>
    <n v="1001056000"/>
    <x v="2"/>
  </r>
  <r>
    <x v="2"/>
    <x v="26"/>
    <n v="2294800000000"/>
    <x v="96"/>
    <x v="96"/>
    <n v="7795520000000"/>
    <n v="264542000000"/>
    <n v="361649000000"/>
    <n v="7.8200101860000002"/>
    <n v="32.865078099999998"/>
    <n v="69.709000000000003"/>
    <n v="41.3"/>
    <n v="7.6109999999999998"/>
    <n v="52.851999999999997"/>
    <n v="33"/>
    <n v="16.5"/>
    <n v="1127809000"/>
    <x v="2"/>
  </r>
  <r>
    <x v="2"/>
    <x v="27"/>
    <n v="2651470000000"/>
    <x v="97"/>
    <x v="97"/>
    <n v="8354710000000"/>
    <n v="299241000000"/>
    <n v="449925000000"/>
    <n v="7.0815698630000004"/>
    <n v="33.18213282"/>
    <n v="70.067999999999998"/>
    <n v="39"/>
    <n v="7.6260000000000003"/>
    <n v="52.670999999999999"/>
    <n v="32.5"/>
    <n v="18.200000760000002"/>
    <n v="1168902277"/>
    <x v="2"/>
  </r>
  <r>
    <x v="2"/>
    <x v="28"/>
    <n v="2702930000000"/>
    <x v="98"/>
    <x v="98"/>
    <n v="9230790000000"/>
    <n v="324778000000"/>
    <n v="514464000000"/>
    <n v="7.0291392869999996"/>
    <n v="33.498435350000001"/>
    <n v="70.415000000000006"/>
    <n v="36.9"/>
    <n v="7.6520000000000001"/>
    <n v="52.481999999999999"/>
    <n v="32.9"/>
    <n v="20.081300039999999"/>
    <n v="1176021869"/>
    <x v="2"/>
  </r>
  <r>
    <x v="2"/>
    <x v="29"/>
    <n v="2835610000000"/>
    <x v="99"/>
    <x v="99"/>
    <n v="9932850000000"/>
    <n v="324340000000"/>
    <n v="486059000000"/>
    <n v="4.9802400909999998"/>
    <n v="33.813957879999997"/>
    <n v="70.745999999999995"/>
    <n v="34.9"/>
    <n v="6.51"/>
    <n v="52.283999999999999"/>
    <n v="33.5"/>
    <n v="29.523500439999999"/>
    <n v="1151480361"/>
    <x v="2"/>
  </r>
  <r>
    <x v="2"/>
    <x v="30"/>
    <n v="2674850000000"/>
    <x v="100"/>
    <x v="100"/>
    <n v="9771020000000"/>
    <n v="276410000000"/>
    <n v="373202000000"/>
    <n v="-4.59785588"/>
    <n v="34.128672610000002"/>
    <n v="70.156000000000006"/>
    <n v="33"/>
    <n v="7.859"/>
    <n v="51.546999999999997"/>
    <n v="36.1"/>
    <n v="43.405443130000002"/>
    <n v="1153709832"/>
    <x v="3"/>
  </r>
  <r>
    <x v="2"/>
    <x v="31"/>
    <n v="3167270000000"/>
    <x v="101"/>
    <x v="101"/>
    <n v="11384400000000"/>
    <n v="395426000000"/>
    <n v="573092000000"/>
    <n v="9.8211874170000009"/>
    <n v="34.442551719999997"/>
    <n v="67.281999999999996"/>
    <n v="31.2"/>
    <n v="6.38"/>
    <n v="52.521999999999998"/>
    <n v="34.9"/>
    <n v="49.258098599999997"/>
    <n v="1154046584"/>
    <x v="3"/>
  </r>
  <r>
    <x v="2"/>
    <x v="32"/>
    <n v="3346110000000"/>
    <x v="102"/>
    <x v="102"/>
    <n v="13124100000000"/>
    <n v="453415000000"/>
    <n v="720441000000"/>
    <n v="7.010372652"/>
    <n v="34.755567399999997"/>
    <n v="71.697999999999993"/>
    <n v="29.5"/>
    <n v="4.8220000000000001"/>
    <n v="53.587000000000003"/>
    <n v="34.9"/>
    <n v="55.9"/>
    <n v="1142930000"/>
    <x v="3"/>
  </r>
  <r>
    <x v="2"/>
    <x v="33"/>
    <n v="3638490000000"/>
    <x v="103"/>
    <x v="103"/>
    <n v="14845900000000"/>
    <n v="431559000000"/>
    <n v="673929000000"/>
    <n v="5.9247810259999998"/>
    <n v="35.067691840000002"/>
    <n v="72.003"/>
    <n v="28"/>
    <n v="4.1719999999999997"/>
    <n v="54.697000000000003"/>
    <n v="34.9"/>
    <n v="60.252300259999998"/>
    <n v="1158554883"/>
    <x v="3"/>
  </r>
  <r>
    <x v="2"/>
    <x v="34"/>
    <n v="3909890000000"/>
    <x v="104"/>
    <x v="104"/>
    <n v="16192400000000"/>
    <n v="442762000000"/>
    <n v="718261000000"/>
    <n v="6.486086341"/>
    <n v="35.378897240000001"/>
    <n v="72.234999999999999"/>
    <n v="26.6"/>
    <n v="4.173"/>
    <n v="55.639000000000003"/>
    <n v="34.9"/>
    <n v="64.943496699999997"/>
    <n v="1151356612"/>
    <x v="3"/>
  </r>
  <r>
    <x v="3"/>
    <x v="0"/>
    <n v="517014000000"/>
    <x v="105"/>
    <x v="105"/>
    <n v="1187870000000"/>
    <n v="42039000000"/>
    <n v="40737000000"/>
    <n v="-6.5227129909999997"/>
    <n v="73.711608889999994"/>
    <n v="68.886097559999996"/>
    <n v="21.6"/>
    <n v="5.1100000000000003"/>
    <n v="67.406999999999996"/>
    <n v="3.8"/>
    <n v="0"/>
    <n v="0"/>
    <x v="0"/>
  </r>
  <r>
    <x v="3"/>
    <x v="1"/>
    <n v="517963000000"/>
    <x v="106"/>
    <x v="106"/>
    <n v="1166060000000"/>
    <n v="42039000000"/>
    <n v="40737000000"/>
    <n v="-6.5227129909999997"/>
    <n v="73.709510800000004"/>
    <n v="68.474390240000005"/>
    <n v="21.6"/>
    <n v="5.1100000000000003"/>
    <n v="66.858000000000004"/>
    <n v="3.8"/>
    <n v="3.3649999999999999E-4"/>
    <n v="300"/>
    <x v="0"/>
  </r>
  <r>
    <x v="3"/>
    <x v="2"/>
    <n v="460291000000"/>
    <x v="107"/>
    <x v="107"/>
    <n v="1019330000000"/>
    <n v="42039000000"/>
    <n v="40737000000"/>
    <n v="-5.3962926260000001"/>
    <n v="73.382293700000005"/>
    <n v="66.873170729999998"/>
    <n v="21.7"/>
    <n v="5.181"/>
    <n v="65.864000000000004"/>
    <n v="4"/>
    <n v="6.7299999999999999E-4"/>
    <n v="6000"/>
    <x v="0"/>
  </r>
  <r>
    <x v="3"/>
    <x v="3"/>
    <n v="435084000000"/>
    <x v="108"/>
    <x v="108"/>
    <n v="953037000000"/>
    <n v="44297000000"/>
    <n v="36135000000"/>
    <n v="-0.72943965399999999"/>
    <n v="73.059097289999997"/>
    <n v="64.935853660000006"/>
    <n v="21.9"/>
    <n v="5.883"/>
    <n v="63.84"/>
    <n v="4"/>
    <n v="1.34E-2"/>
    <n v="10000"/>
    <x v="0"/>
  </r>
  <r>
    <x v="3"/>
    <x v="4"/>
    <n v="395077000000"/>
    <x v="109"/>
    <x v="109"/>
    <n v="851034000000"/>
    <n v="67379000000"/>
    <n v="50452000000"/>
    <n v="0.218575625"/>
    <n v="72.954109189999997"/>
    <n v="64.467073170000006"/>
    <n v="22.1"/>
    <n v="8.1310000000000002"/>
    <n v="61.875"/>
    <n v="3.9"/>
    <n v="5.3800000000000001E-2"/>
    <n v="27744"/>
    <x v="0"/>
  </r>
  <r>
    <x v="3"/>
    <x v="5"/>
    <n v="395537000000"/>
    <x v="110"/>
    <x v="110"/>
    <n v="832875000000"/>
    <n v="82419000000"/>
    <n v="62603000000"/>
    <n v="-2.4057307479999999"/>
    <n v="72.935279850000001"/>
    <n v="64.690731709999994"/>
    <n v="22"/>
    <n v="9.4489999999999998"/>
    <n v="61.412999999999997"/>
    <n v="3.9"/>
    <n v="0.14799999999999999"/>
    <n v="88526"/>
    <x v="0"/>
  </r>
  <r>
    <x v="3"/>
    <x v="6"/>
    <n v="391725000000"/>
    <x v="111"/>
    <x v="111"/>
    <n v="817527000000"/>
    <n v="89685000000"/>
    <n v="68092000000"/>
    <n v="-1.9571621159999999"/>
    <n v="73.06230927"/>
    <n v="65.85414634"/>
    <n v="21.7"/>
    <n v="9.6649999999999991"/>
    <n v="60.387"/>
    <n v="3.7"/>
    <n v="0.27"/>
    <n v="223002"/>
    <x v="0"/>
  </r>
  <r>
    <x v="3"/>
    <x v="7"/>
    <n v="404929000000"/>
    <x v="112"/>
    <x v="112"/>
    <n v="843110000000"/>
    <n v="86895000000"/>
    <n v="71983000000"/>
    <n v="2.8001677780000001"/>
    <n v="73.115661619999997"/>
    <n v="66.698780490000004"/>
    <n v="21.3"/>
    <n v="11.813000000000001"/>
    <n v="59.045000000000002"/>
    <n v="3.8"/>
    <n v="0.47299999999999998"/>
    <n v="484883"/>
    <x v="0"/>
  </r>
  <r>
    <x v="3"/>
    <x v="8"/>
    <n v="270955000000"/>
    <x v="113"/>
    <x v="113"/>
    <n v="807029000000"/>
    <n v="74444000000"/>
    <n v="58015000000"/>
    <n v="-2.0999588569999998"/>
    <n v="73.191207890000001"/>
    <n v="67.0297561"/>
    <n v="20.8"/>
    <n v="13.260999999999999"/>
    <n v="58.115000000000002"/>
    <n v="3.6"/>
    <n v="0.81299999999999994"/>
    <n v="747160"/>
    <x v="0"/>
  </r>
  <r>
    <x v="3"/>
    <x v="9"/>
    <n v="195907000000"/>
    <x v="114"/>
    <x v="114"/>
    <n v="870676000000"/>
    <n v="75551000000"/>
    <n v="39537000000"/>
    <n v="-1.1999652679999999"/>
    <n v="72.965332029999999"/>
    <n v="65.98219512"/>
    <n v="20.2"/>
    <n v="13.036"/>
    <n v="61.253"/>
    <n v="3.8"/>
    <n v="1.02"/>
    <n v="1370630"/>
    <x v="0"/>
  </r>
  <r>
    <x v="3"/>
    <x v="10"/>
    <n v="259710000000"/>
    <x v="115"/>
    <x v="115"/>
    <n v="1000580000000"/>
    <n v="105033000000"/>
    <n v="44862000000"/>
    <n v="5.5998875100000003"/>
    <n v="73.156822199999993"/>
    <n v="65.483658539999993"/>
    <n v="19.399999999999999"/>
    <n v="10.581"/>
    <n v="61.271999999999998"/>
    <n v="3.5"/>
    <n v="1.977230109"/>
    <n v="3263200"/>
    <x v="1"/>
  </r>
  <r>
    <x v="3"/>
    <x v="11"/>
    <n v="306602000000"/>
    <x v="116"/>
    <x v="116"/>
    <n v="1074590000000"/>
    <n v="101884000000"/>
    <n v="53764000000"/>
    <n v="6.7999334190000003"/>
    <n v="73.229980470000001"/>
    <n v="65.383414630000004"/>
    <n v="18.399999999999999"/>
    <n v="8.9779999999999998"/>
    <n v="59.948999999999998"/>
    <n v="3.6"/>
    <n v="2.944367787"/>
    <n v="7750499"/>
    <x v="1"/>
  </r>
  <r>
    <x v="3"/>
    <x v="12"/>
    <n v="345470000000"/>
    <x v="117"/>
    <x v="117"/>
    <n v="1167900000000"/>
    <n v="107301000000"/>
    <n v="60966000000"/>
    <n v="7.0000342880000002"/>
    <n v="73.292900799999998"/>
    <n v="65.128780489999997"/>
    <n v="17.3"/>
    <n v="7.875"/>
    <n v="60.295000000000002"/>
    <n v="3.5"/>
    <n v="4.128271818"/>
    <n v="17608756"/>
    <x v="1"/>
  </r>
  <r>
    <x v="3"/>
    <x v="13"/>
    <n v="430347000000"/>
    <x v="118"/>
    <x v="118"/>
    <n v="1338660000000"/>
    <n v="135929000000"/>
    <n v="76070000000"/>
    <n v="6.0998878489999999"/>
    <n v="73.405738830000004"/>
    <n v="65.027560980000004"/>
    <n v="16.100000000000001"/>
    <n v="8.2100000000000009"/>
    <n v="59.981999999999999"/>
    <n v="3.3"/>
    <n v="8.2988606160000007"/>
    <n v="36135135"/>
    <x v="1"/>
  </r>
  <r>
    <x v="3"/>
    <x v="14"/>
    <n v="591017000000"/>
    <x v="119"/>
    <x v="119"/>
    <n v="1473340000000"/>
    <n v="183207000000"/>
    <n v="97382000000"/>
    <n v="9.3999588149999997"/>
    <n v="73.306579589999998"/>
    <n v="65.470975609999996"/>
    <n v="15"/>
    <n v="7.7629999999999999"/>
    <n v="60.572000000000003"/>
    <n v="3.5"/>
    <n v="12.859388900000001"/>
    <n v="73722222"/>
    <x v="1"/>
  </r>
  <r>
    <x v="3"/>
    <x v="15"/>
    <n v="764016000000"/>
    <x v="120"/>
    <x v="120"/>
    <n v="1696730000000"/>
    <n v="243798000000"/>
    <n v="125434000000"/>
    <n v="9.0999894599999998"/>
    <n v="73.161392210000002"/>
    <n v="65.5297561"/>
    <n v="13.9"/>
    <n v="7.1239999999999997"/>
    <n v="60.914000000000001"/>
    <n v="3.6"/>
    <n v="15.226699829999999"/>
    <n v="120000000"/>
    <x v="1"/>
  </r>
  <r>
    <x v="3"/>
    <x v="16"/>
    <n v="989932000000"/>
    <x v="121"/>
    <x v="121"/>
    <n v="2133190000000"/>
    <n v="303551000000"/>
    <n v="164281000000"/>
    <n v="9.500094313"/>
    <n v="73.24391937"/>
    <n v="66.727560980000007"/>
    <n v="12.8"/>
    <n v="7.0549999999999997"/>
    <n v="61.226999999999997"/>
    <n v="3.5"/>
    <n v="18.023300169999999"/>
    <n v="150674000"/>
    <x v="1"/>
  </r>
  <r>
    <x v="3"/>
    <x v="17"/>
    <n v="1299700000000"/>
    <x v="122"/>
    <x v="122"/>
    <n v="2377450000000"/>
    <n v="354403000000"/>
    <n v="223486000000"/>
    <n v="11.19992605"/>
    <n v="73.385604860000001"/>
    <n v="67.586829269999996"/>
    <n v="12"/>
    <n v="6.0019999999999998"/>
    <n v="62.024999999999999"/>
    <n v="3.7"/>
    <n v="24.66"/>
    <n v="171200000"/>
    <x v="1"/>
  </r>
  <r>
    <x v="3"/>
    <x v="18"/>
    <n v="1660850000000"/>
    <x v="123"/>
    <x v="123"/>
    <n v="2878200000000"/>
    <n v="471606000000"/>
    <n v="291861000000"/>
    <n v="8.6000358949999995"/>
    <n v="73.482246399999994"/>
    <n v="67.949268290000006"/>
    <n v="11.3"/>
    <n v="6.2050000000000001"/>
    <n v="62.548999999999999"/>
    <n v="3.3"/>
    <n v="32"/>
    <n v="199522340"/>
    <x v="1"/>
  </r>
  <r>
    <x v="3"/>
    <x v="19"/>
    <n v="1222650000000"/>
    <x v="124"/>
    <x v="124"/>
    <n v="2768600000000"/>
    <n v="303388000000"/>
    <n v="191803000000"/>
    <n v="-3.8999196330000001"/>
    <n v="73.528869630000003"/>
    <n v="68.684634149999994"/>
    <n v="10.7"/>
    <n v="8.3010000000000002"/>
    <n v="62.658999999999999"/>
    <n v="3.6"/>
    <n v="42.55"/>
    <n v="230050000"/>
    <x v="1"/>
  </r>
  <r>
    <x v="3"/>
    <x v="20"/>
    <n v="1524920000000"/>
    <x v="125"/>
    <x v="125"/>
    <n v="2927000000000"/>
    <n v="400630000000"/>
    <n v="248634000000"/>
    <n v="3.4999339300000001"/>
    <n v="73.669630789999999"/>
    <n v="68.841219510000002"/>
    <n v="10.4"/>
    <n v="7.407"/>
    <n v="62.646999999999998"/>
    <n v="3.3"/>
    <n v="49"/>
    <n v="237689224"/>
    <x v="2"/>
  </r>
  <r>
    <x v="3"/>
    <x v="21"/>
    <n v="2045920000000"/>
    <x v="126"/>
    <x v="126"/>
    <n v="3259320000000"/>
    <n v="522011000000"/>
    <n v="323831000000"/>
    <n v="5.2999961520000003"/>
    <n v="73.853485109999994"/>
    <n v="69.683902439999997"/>
    <n v="10.199999999999999"/>
    <n v="6.5709999999999997"/>
    <n v="62.939"/>
    <n v="3.2"/>
    <n v="58"/>
    <n v="203751647"/>
    <x v="2"/>
  </r>
  <r>
    <x v="3"/>
    <x v="22"/>
    <n v="2208290000000"/>
    <x v="127"/>
    <x v="127"/>
    <n v="3480300000000"/>
    <n v="529256000000"/>
    <n v="335446000000"/>
    <n v="6.16206195"/>
    <n v="73.97265625"/>
    <n v="70.072195120000003"/>
    <n v="9.9"/>
    <n v="5.484"/>
    <n v="62.963999999999999"/>
    <n v="3.2"/>
    <n v="66"/>
    <n v="208065063"/>
    <x v="2"/>
  </r>
  <r>
    <x v="3"/>
    <x v="23"/>
    <n v="2292470000000"/>
    <x v="128"/>
    <x v="128"/>
    <n v="3741780000000"/>
    <n v="521836000000"/>
    <n v="341269000000"/>
    <n v="3.7848547090000002"/>
    <n v="74.07629498"/>
    <n v="70.57878049"/>
    <n v="9.5"/>
    <n v="5.5129999999999999"/>
    <n v="62.866"/>
    <n v="3.6"/>
    <n v="67.97"/>
    <n v="218300372"/>
    <x v="2"/>
  </r>
  <r>
    <x v="3"/>
    <x v="24"/>
    <n v="2059240000000"/>
    <x v="129"/>
    <x v="129"/>
    <n v="3763530000000"/>
    <n v="496807000000"/>
    <n v="307877000000"/>
    <n v="0.88732373399999998"/>
    <n v="74.177647669999999"/>
    <n v="70.743658539999998"/>
    <n v="8.9"/>
    <n v="5.2119999999999997"/>
    <n v="62.837000000000003"/>
    <n v="3.3"/>
    <n v="70.517568260000004"/>
    <n v="221030353"/>
    <x v="2"/>
  </r>
  <r>
    <x v="3"/>
    <x v="25"/>
    <n v="1363480000000"/>
    <x v="130"/>
    <x v="130"/>
    <n v="3526240000000"/>
    <n v="341419000000"/>
    <n v="193019000000"/>
    <n v="-7.9685150010000001"/>
    <n v="74.27591907"/>
    <n v="71.183414630000001"/>
    <n v="8.1999999999999993"/>
    <n v="5.6150000000000002"/>
    <n v="62.704000000000001"/>
    <n v="3.2"/>
    <n v="70.099241230000004"/>
    <n v="227288088"/>
    <x v="2"/>
  </r>
  <r>
    <x v="3"/>
    <x v="26"/>
    <n v="1276790000000"/>
    <x v="131"/>
    <x v="131"/>
    <n v="3538980000000"/>
    <n v="281710000000"/>
    <n v="191493000000"/>
    <n v="-1.532379639"/>
    <n v="74.370313870000004"/>
    <n v="71.651219510000004"/>
    <n v="7.5"/>
    <n v="5.5910000000000002"/>
    <n v="62.872"/>
    <n v="3.4"/>
    <n v="73.091434620000001"/>
    <n v="229126152"/>
    <x v="2"/>
  </r>
  <r>
    <x v="3"/>
    <x v="27"/>
    <n v="1574200000000"/>
    <x v="132"/>
    <x v="132"/>
    <n v="3807100000000"/>
    <n v="352943000000"/>
    <n v="238384000000"/>
    <n v="3.4000830639999999"/>
    <n v="74.460036810000005"/>
    <n v="72.451463410000002"/>
    <n v="6.9"/>
    <n v="5.2380000000000004"/>
    <n v="62.496000000000002"/>
    <n v="3.2"/>
    <n v="76.008138529999997"/>
    <n v="227299663"/>
    <x v="2"/>
  </r>
  <r>
    <x v="3"/>
    <x v="28"/>
    <n v="1657330000000"/>
    <x v="133"/>
    <x v="133"/>
    <n v="4231840000000"/>
    <n v="443914000000"/>
    <n v="248856000000"/>
    <n v="3.4646954220000001"/>
    <n v="74.544292609999999"/>
    <n v="72.662195120000007"/>
    <n v="6.4"/>
    <n v="4.8710000000000004"/>
    <n v="62.445"/>
    <n v="3.2"/>
    <n v="80.864721869999997"/>
    <n v="229431008"/>
    <x v="2"/>
  </r>
  <r>
    <x v="3"/>
    <x v="29"/>
    <n v="1693120000000"/>
    <x v="134"/>
    <x v="134"/>
    <n v="4579550000000"/>
    <n v="419721000000"/>
    <n v="253876000000"/>
    <n v="3.3896205720000001"/>
    <n v="74.622286000000003"/>
    <n v="73.083902440000003"/>
    <n v="6"/>
    <n v="4.5129999999999999"/>
    <n v="61.698"/>
    <n v="3.2"/>
    <n v="82.642161869999995"/>
    <n v="239795946"/>
    <x v="2"/>
  </r>
  <r>
    <x v="3"/>
    <x v="30"/>
    <n v="1493080000000"/>
    <x v="135"/>
    <x v="135"/>
    <n v="4651430000000"/>
    <n v="333530000000"/>
    <n v="240088000000"/>
    <n v="-3.9324254810000001"/>
    <n v="74.693221679999994"/>
    <n v="71.338780490000005"/>
    <n v="5.7"/>
    <n v="5.62"/>
    <n v="61.389000000000003"/>
    <n v="3.7"/>
    <n v="84.994669779999995"/>
    <n v="238733217"/>
    <x v="3"/>
  </r>
  <r>
    <x v="3"/>
    <x v="31"/>
    <n v="1829190000000"/>
    <x v="136"/>
    <x v="136"/>
    <n v="5688270000000"/>
    <n v="494161000000"/>
    <n v="301046000000"/>
    <n v="8.0880992200000001"/>
    <n v="74.751684019999999"/>
    <n v="69.900243900000007"/>
    <n v="5.5"/>
    <n v="4.7489999999999997"/>
    <n v="61.966000000000001"/>
    <n v="3.5"/>
    <n v="88.21384578"/>
    <n v="246569033"/>
    <x v="3"/>
  </r>
  <r>
    <x v="3"/>
    <x v="32"/>
    <n v="2291610000000"/>
    <x v="137"/>
    <x v="137"/>
    <n v="6006310000000"/>
    <n v="592075000000"/>
    <n v="276511000000"/>
    <n v="-0.35686839599999998"/>
    <n v="74.854489360000002"/>
    <n v="72.545609760000005"/>
    <n v="5.4"/>
    <n v="3.867"/>
    <n v="61.936"/>
    <n v="3.5"/>
    <n v="90.417991630000003"/>
    <n v="245266945"/>
    <x v="3"/>
  </r>
  <r>
    <x v="3"/>
    <x v="33"/>
    <n v="2071510000000"/>
    <x v="138"/>
    <x v="138"/>
    <n v="6476480000000"/>
    <n v="424749000000"/>
    <n v="303086000000"/>
    <n v="6.5"/>
    <n v="74.980504789999998"/>
    <n v="73.254634150000001"/>
    <n v="5.3"/>
    <n v="3.0760000000000001"/>
    <n v="62.134999999999998"/>
    <n v="3.5"/>
    <n v="92.244963459999994"/>
    <n v="263017184"/>
    <x v="3"/>
  </r>
  <r>
    <x v="3"/>
    <x v="34"/>
    <n v="2173840000000"/>
    <x v="139"/>
    <x v="139"/>
    <n v="6921250000000"/>
    <n v="433092000000"/>
    <n v="300124000000"/>
    <n v="5.2"/>
    <n v="75.111913619999996"/>
    <n v="73.4404878"/>
    <n v="5.2"/>
    <n v="2.4300000000000002"/>
    <n v="61.823999999999998"/>
    <n v="3.5"/>
    <n v="94.364953679999999"/>
    <n v="269516292"/>
    <x v="3"/>
  </r>
  <r>
    <x v="4"/>
    <x v="0"/>
    <n v="126048000000"/>
    <x v="140"/>
    <x v="140"/>
    <n v="260029000000"/>
    <n v="23549000000"/>
    <n v="18399000000"/>
    <n v="2.7106876600000001"/>
    <n v="51.967990829999998"/>
    <n v="62.942"/>
    <n v="58.1"/>
    <n v="23.137"/>
    <n v="58.094999999999999"/>
    <n v="16.600000000000001"/>
    <n v="0"/>
    <n v="5680"/>
    <x v="0"/>
  </r>
  <r>
    <x v="4"/>
    <x v="1"/>
    <n v="135204000000"/>
    <x v="141"/>
    <x v="141"/>
    <n v="266086000000"/>
    <n v="23279000000"/>
    <n v="18829000000"/>
    <n v="0.21937789499999999"/>
    <n v="52.400001529999997"/>
    <n v="62.982999999999997"/>
    <n v="56.8"/>
    <n v="23.137"/>
    <n v="58.033000000000001"/>
    <n v="17.5"/>
    <n v="1.3299999999999999E-2"/>
    <n v="7100"/>
    <x v="0"/>
  </r>
  <r>
    <x v="4"/>
    <x v="2"/>
    <n v="146956000000"/>
    <x v="142"/>
    <x v="142"/>
    <n v="266334000000"/>
    <n v="23440000000"/>
    <n v="19738000000"/>
    <n v="-0.53343027300000001"/>
    <n v="52.680509489999999"/>
    <n v="62.838999999999999"/>
    <n v="56.2"/>
    <n v="23.463000000000001"/>
    <n v="58.046999999999997"/>
    <n v="18.399999999999999"/>
    <n v="3.8899999999999997E-2"/>
    <n v="12510"/>
    <x v="0"/>
  </r>
  <r>
    <x v="4"/>
    <x v="3"/>
    <n v="147195000000"/>
    <x v="143"/>
    <x v="143"/>
    <n v="276010000000"/>
    <n v="24222000000"/>
    <n v="19991000000"/>
    <n v="1.6916339279999999"/>
    <n v="52.893505040000001"/>
    <n v="62.618000000000002"/>
    <n v="56.6"/>
    <n v="23.361000000000001"/>
    <n v="57.954999999999998"/>
    <n v="18.600000000000001"/>
    <n v="0.114"/>
    <n v="40000"/>
    <x v="0"/>
  </r>
  <r>
    <x v="4"/>
    <x v="4"/>
    <n v="153513000000"/>
    <x v="144"/>
    <x v="144"/>
    <n v="290924000000"/>
    <n v="25308000000"/>
    <n v="23363000000"/>
    <n v="3.1254707869999998"/>
    <n v="53.083802609999999"/>
    <n v="62.069000000000003"/>
    <n v="57.8"/>
    <n v="23.067"/>
    <n v="57.936"/>
    <n v="18.600000000000001"/>
    <n v="0.247"/>
    <n v="340000"/>
    <x v="0"/>
  </r>
  <r>
    <x v="4"/>
    <x v="5"/>
    <n v="171736000000"/>
    <x v="145"/>
    <x v="145"/>
    <n v="306232000000"/>
    <n v="27853000000"/>
    <n v="30546000000"/>
    <n v="2.7099332789999999"/>
    <n v="53.296216620000003"/>
    <n v="61.603000000000002"/>
    <n v="59.2"/>
    <n v="22.704999999999998"/>
    <n v="58.024000000000001"/>
    <n v="18.100000000000001"/>
    <n v="0.67700000000000005"/>
    <n v="535000"/>
    <x v="0"/>
  </r>
  <r>
    <x v="4"/>
    <x v="6"/>
    <n v="163235000000"/>
    <x v="146"/>
    <x v="146"/>
    <n v="325247000000"/>
    <n v="29221000000"/>
    <n v="30182000000"/>
    <n v="4.3073772679999998"/>
    <n v="53.574919149999999"/>
    <n v="61.079000000000001"/>
    <n v="60.9"/>
    <n v="22.5"/>
    <n v="58.036999999999999"/>
    <n v="17.399999999999999"/>
    <n v="0.84199999999999997"/>
    <n v="953000"/>
    <x v="0"/>
  </r>
  <r>
    <x v="4"/>
    <x v="7"/>
    <n v="168978000000"/>
    <x v="147"/>
    <x v="147"/>
    <n v="339458000000"/>
    <n v="31027000000"/>
    <n v="32998000000"/>
    <n v="2.9822809819999998"/>
    <n v="54.004016300000004"/>
    <n v="60.537999999999997"/>
    <n v="62.9"/>
    <n v="22.548999999999999"/>
    <n v="57.953000000000003"/>
    <n v="17.100000000000001"/>
    <n v="1.63"/>
    <n v="1836000"/>
    <x v="0"/>
  </r>
  <r>
    <x v="4"/>
    <x v="8"/>
    <n v="152983000000"/>
    <x v="148"/>
    <x v="148"/>
    <n v="344989000000"/>
    <n v="26362000000"/>
    <n v="29242000000"/>
    <n v="0.77782294500000004"/>
    <n v="54.656243830000001"/>
    <n v="59.911999999999999"/>
    <n v="65.8"/>
    <n v="22.739000000000001"/>
    <n v="57.741999999999997"/>
    <n v="17.3"/>
    <n v="2.91"/>
    <n v="3337000"/>
    <x v="0"/>
  </r>
  <r>
    <x v="4"/>
    <x v="9"/>
    <n v="151517000000"/>
    <x v="149"/>
    <x v="149"/>
    <n v="358268000000"/>
    <n v="26707000000"/>
    <n v="26696000000"/>
    <n v="1.429919068"/>
    <n v="55.44085218"/>
    <n v="59.19"/>
    <n v="68.7"/>
    <n v="22.884"/>
    <n v="57.509"/>
    <n v="17.7"/>
    <n v="4.12"/>
    <n v="5188000"/>
    <x v="0"/>
  </r>
  <r>
    <x v="4"/>
    <x v="10"/>
    <n v="151753000000"/>
    <x v="150"/>
    <x v="150"/>
    <n v="381772000000"/>
    <n v="29983000000"/>
    <n v="29695000000"/>
    <n v="3.8553094919999999"/>
    <n v="56.258995489999997"/>
    <n v="58.368000000000002"/>
    <n v="71.400000000000006"/>
    <n v="22.788"/>
    <n v="57.262999999999998"/>
    <n v="16.2"/>
    <n v="5.348559732"/>
    <n v="8339000"/>
    <x v="1"/>
  </r>
  <r>
    <x v="4"/>
    <x v="11"/>
    <n v="135430000000"/>
    <x v="151"/>
    <x v="151"/>
    <n v="400908000000"/>
    <n v="29258000000"/>
    <n v="28248000000"/>
    <n v="3.4072330210000001"/>
    <n v="57.001433939999998"/>
    <n v="57.161000000000001"/>
    <n v="74.5"/>
    <n v="22.652000000000001"/>
    <n v="57.006999999999998"/>
    <n v="15"/>
    <n v="6.3466193180000001"/>
    <n v="10787000"/>
    <x v="1"/>
  </r>
  <r>
    <x v="4"/>
    <x v="12"/>
    <n v="129088000000"/>
    <x v="152"/>
    <x v="152"/>
    <n v="422204000000"/>
    <n v="29723000000"/>
    <n v="29267000000"/>
    <n v="3.4959249510000001"/>
    <n v="57.672358750000001"/>
    <n v="55.58"/>
    <n v="77"/>
    <n v="22.579000000000001"/>
    <n v="56.747999999999998"/>
    <n v="13.3"/>
    <n v="6.7103224370000003"/>
    <n v="13702000"/>
    <x v="1"/>
  </r>
  <r>
    <x v="4"/>
    <x v="13"/>
    <n v="197019000000"/>
    <x v="153"/>
    <x v="153"/>
    <n v="443236000000"/>
    <n v="36482000000"/>
    <n v="39748000000"/>
    <n v="3.4905760400000001"/>
    <n v="58.372434120000001"/>
    <n v="54.244999999999997"/>
    <n v="79.2"/>
    <n v="22.678999999999998"/>
    <n v="56.503999999999998"/>
    <n v="11.8"/>
    <n v="7.007691726"/>
    <n v="16860000"/>
    <x v="1"/>
  </r>
  <r>
    <x v="4"/>
    <x v="14"/>
    <n v="255807000000"/>
    <x v="154"/>
    <x v="154"/>
    <n v="475886000000"/>
    <n v="46146000000"/>
    <n v="53466000000"/>
    <n v="6.0013330490000003"/>
    <n v="59.097739099999998"/>
    <n v="53.963000000000001"/>
    <n v="80.7"/>
    <n v="22.567"/>
    <n v="56.295000000000002"/>
    <n v="11"/>
    <n v="8.4251186830000009"/>
    <n v="20839000"/>
    <x v="1"/>
  </r>
  <r>
    <x v="4"/>
    <x v="15"/>
    <n v="288867000000"/>
    <x v="155"/>
    <x v="155"/>
    <n v="516707000000"/>
    <n v="51626000000"/>
    <n v="62304000000"/>
    <n v="4.9370380169999999"/>
    <n v="59.824175840000002"/>
    <n v="53.914000000000001"/>
    <n v="79.8"/>
    <n v="22.472000000000001"/>
    <n v="56.128999999999998"/>
    <n v="9.6999999999999993"/>
    <n v="7.4885425300000001"/>
    <n v="33959958"/>
    <x v="1"/>
  </r>
  <r>
    <x v="4"/>
    <x v="16"/>
    <n v="303859000000"/>
    <x v="156"/>
    <x v="156"/>
    <n v="562490000000"/>
    <n v="58175000000"/>
    <n v="78715000000"/>
    <n v="7.6342517790000004"/>
    <n v="60.527646519999998"/>
    <n v="54.22"/>
    <n v="76.900000000000006"/>
    <n v="22.303999999999998"/>
    <n v="55.994"/>
    <n v="9.3000000000000007"/>
    <n v="7.607139675"/>
    <n v="39662000"/>
    <x v="1"/>
  </r>
  <r>
    <x v="4"/>
    <x v="17"/>
    <n v="333077000000"/>
    <x v="157"/>
    <x v="157"/>
    <n v="608698000000"/>
    <n v="69784000000"/>
    <n v="88450000000"/>
    <n v="6.4489785289999997"/>
    <n v="61.184053319999997"/>
    <n v="54.948"/>
    <n v="71.2"/>
    <n v="22.26"/>
    <n v="55.877000000000002"/>
    <n v="8.6999999999999993"/>
    <n v="8.0653751739999997"/>
    <n v="42300000"/>
    <x v="1"/>
  </r>
  <r>
    <x v="4"/>
    <x v="18"/>
    <n v="316131000000"/>
    <x v="158"/>
    <x v="158"/>
    <n v="640224000000"/>
    <n v="80782000000"/>
    <n v="101640000000"/>
    <n v="2.6277776359999998"/>
    <n v="61.769298390000003"/>
    <n v="55.981999999999999"/>
    <n v="63.7"/>
    <n v="22.407"/>
    <n v="55.786000000000001"/>
    <n v="9.6999999999999993"/>
    <n v="8.43"/>
    <n v="45000000"/>
    <x v="1"/>
  </r>
  <r>
    <x v="4"/>
    <x v="19"/>
    <n v="329754000000"/>
    <x v="159"/>
    <x v="159"/>
    <n v="634265000000"/>
    <n v="61677000000"/>
    <n v="74054000000"/>
    <n v="-1.588528967"/>
    <n v="62.259283910000001"/>
    <n v="57.412999999999997"/>
    <n v="56.9"/>
    <n v="23.523"/>
    <n v="53.956000000000003"/>
    <n v="9.1999999999999993"/>
    <n v="10"/>
    <n v="46436000"/>
    <x v="1"/>
  </r>
  <r>
    <x v="4"/>
    <x v="20"/>
    <n v="417364000000"/>
    <x v="160"/>
    <x v="160"/>
    <n v="661487000000"/>
    <n v="91347000000"/>
    <n v="96835000000"/>
    <n v="4.2669466759999999"/>
    <n v="62.629912060000002"/>
    <n v="58.886000000000003"/>
    <n v="50.3"/>
    <n v="24.683"/>
    <n v="52.265000000000001"/>
    <n v="9.4"/>
    <n v="24"/>
    <n v="50372000"/>
    <x v="2"/>
  </r>
  <r>
    <x v="4"/>
    <x v="21"/>
    <n v="458199000000"/>
    <x v="161"/>
    <x v="161"/>
    <n v="696526000000"/>
    <n v="108815000000"/>
    <n v="124430000000"/>
    <n v="4.0604074050000003"/>
    <n v="62.850627750000001"/>
    <n v="60.601999999999997"/>
    <n v="45.6"/>
    <n v="24.638999999999999"/>
    <n v="52.170999999999999"/>
    <n v="9"/>
    <n v="33.97"/>
    <n v="64000000"/>
    <x v="2"/>
  </r>
  <r>
    <x v="4"/>
    <x v="22"/>
    <n v="434401000000"/>
    <x v="162"/>
    <x v="162"/>
    <n v="698463000000"/>
    <n v="99606000000"/>
    <n v="127154000000"/>
    <n v="3.5821417059999998"/>
    <n v="62.96165603"/>
    <n v="61.737000000000002"/>
    <n v="43.1"/>
    <n v="24.727"/>
    <n v="52.506999999999998"/>
    <n v="8.3000000000000007"/>
    <n v="41"/>
    <n v="68394000"/>
    <x v="2"/>
  </r>
  <r>
    <x v="4"/>
    <x v="23"/>
    <n v="400886000000"/>
    <x v="163"/>
    <x v="163"/>
    <n v="731025000000"/>
    <n v="96153000000"/>
    <n v="126330000000"/>
    <n v="1.92194719"/>
    <n v="63.052402409999999"/>
    <n v="62.387999999999998"/>
    <n v="41.4"/>
    <n v="24.561"/>
    <n v="53.078000000000003"/>
    <n v="7.8"/>
    <n v="46.5"/>
    <n v="76865278"/>
    <x v="2"/>
  </r>
  <r>
    <x v="4"/>
    <x v="24"/>
    <n v="381199000000"/>
    <x v="164"/>
    <x v="164"/>
    <n v="742688000000"/>
    <n v="93043000000"/>
    <n v="121950000000"/>
    <n v="1.0011869250000001"/>
    <n v="63.135232709999997"/>
    <n v="63.183999999999997"/>
    <n v="39.700000000000003"/>
    <n v="24.89"/>
    <n v="53.314"/>
    <n v="7.6"/>
    <n v="49"/>
    <n v="79280731"/>
    <x v="2"/>
  </r>
  <r>
    <x v="4"/>
    <x v="25"/>
    <n v="346710000000"/>
    <x v="165"/>
    <x v="165"/>
    <n v="759955000000"/>
    <n v="81002000000"/>
    <n v="104651000000"/>
    <n v="1.424151194"/>
    <n v="63.209634989999998"/>
    <n v="64.052999999999997"/>
    <n v="38.200000000000003"/>
    <n v="25.149000000000001"/>
    <n v="54.591000000000001"/>
    <n v="7.6"/>
    <n v="51.91910172"/>
    <n v="87999492"/>
    <x v="2"/>
  </r>
  <r>
    <x v="4"/>
    <x v="26"/>
    <n v="323586000000"/>
    <x v="166"/>
    <x v="166"/>
    <n v="774110000000"/>
    <n v="76214000000"/>
    <n v="91692000000"/>
    <n v="0.98912052699999997"/>
    <n v="63.275097340000002"/>
    <n v="64.748999999999995"/>
    <n v="36.799999999999997"/>
    <n v="26.536000000000001"/>
    <n v="54.713999999999999"/>
    <n v="7.8"/>
    <n v="54"/>
    <n v="82412880"/>
    <x v="2"/>
  </r>
  <r>
    <x v="4"/>
    <x v="27"/>
    <n v="381449000000"/>
    <x v="167"/>
    <x v="167"/>
    <n v="791817000000"/>
    <n v="88947000000"/>
    <n v="101576000000"/>
    <n v="1.252008478"/>
    <n v="63.331107830000001"/>
    <n v="65.421999999999997"/>
    <n v="35.700000000000003"/>
    <n v="27.035"/>
    <n v="55.359000000000002"/>
    <n v="7.9"/>
    <n v="56.167400360000002"/>
    <n v="88497610"/>
    <x v="2"/>
  </r>
  <r>
    <x v="4"/>
    <x v="28"/>
    <n v="405261000000"/>
    <x v="168"/>
    <x v="168"/>
    <n v="782329000000"/>
    <n v="93970000000"/>
    <n v="113971000000"/>
    <n v="2.6881575029999998"/>
    <n v="63.377154519999998"/>
    <n v="65.725999999999999"/>
    <n v="34.9"/>
    <n v="26.905999999999999"/>
    <n v="55.161000000000001"/>
    <n v="8"/>
    <n v="62.400001529999997"/>
    <n v="92427958"/>
    <x v="2"/>
  </r>
  <r>
    <x v="4"/>
    <x v="29"/>
    <n v="389330000000"/>
    <x v="169"/>
    <x v="169"/>
    <n v="796183000000"/>
    <n v="90016000000"/>
    <n v="107539000000"/>
    <n v="1.4075638779999999"/>
    <n v="63.412725500000001"/>
    <n v="66.070999999999998"/>
    <n v="34.299999999999997"/>
    <n v="28.468"/>
    <n v="55.267000000000003"/>
    <n v="8.6999999999999993"/>
    <n v="69.69689941"/>
    <n v="96972459"/>
    <x v="2"/>
  </r>
  <r>
    <x v="4"/>
    <x v="30"/>
    <n v="337975000000"/>
    <x v="170"/>
    <x v="170"/>
    <n v="767391000000"/>
    <n v="85834000000"/>
    <n v="84062000000"/>
    <n v="-4.5290746569999998"/>
    <n v="63.437308829999999"/>
    <n v="65.150000000000006"/>
    <n v="33.9"/>
    <n v="29.216999999999999"/>
    <n v="50.548000000000002"/>
    <n v="9.8000000000000007"/>
    <n v="72.1128006"/>
    <n v="95959439"/>
    <x v="3"/>
  </r>
  <r>
    <x v="4"/>
    <x v="31"/>
    <n v="419986000000"/>
    <x v="171"/>
    <x v="171"/>
    <n v="841476000000"/>
    <n v="123572000000"/>
    <n v="113989000000"/>
    <n v="4.7135052059999998"/>
    <n v="63.45039259"/>
    <n v="62.01"/>
    <n v="34"/>
    <n v="34.006999999999998"/>
    <n v="52.024000000000001"/>
    <n v="9.6999999999999993"/>
    <n v="74.968597410000001"/>
    <n v="100328005"/>
    <x v="3"/>
  </r>
  <r>
    <x v="4"/>
    <x v="32"/>
    <n v="407596000000"/>
    <x v="172"/>
    <x v="172"/>
    <n v="920022000000"/>
    <n v="122901000000"/>
    <n v="136207000000"/>
    <n v="2.2056022120000001"/>
    <n v="63.476669919999999"/>
    <n v="65.453999999999994"/>
    <n v="34.299999999999997"/>
    <n v="33.268000000000001"/>
    <n v="53.499000000000002"/>
    <n v="9.6999999999999993"/>
    <n v="78.293197629999995"/>
    <n v="100259890"/>
    <x v="3"/>
  </r>
  <r>
    <x v="4"/>
    <x v="33"/>
    <n v="381441000000"/>
    <x v="173"/>
    <x v="173"/>
    <n v="960811000000"/>
    <n v="110855000000"/>
    <n v="130747000000"/>
    <n v="0.59690474199999999"/>
    <n v="63.582370519999998"/>
    <n v="66.138999999999996"/>
    <n v="34.799999999999997"/>
    <n v="32.097999999999999"/>
    <n v="55.02"/>
    <n v="9.6999999999999993"/>
    <n v="78.336700440000001"/>
    <n v="108414687"/>
    <x v="3"/>
  </r>
  <r>
    <x v="4"/>
    <x v="34"/>
    <n v="401145000000"/>
    <x v="174"/>
    <x v="174"/>
    <n v="989308000000"/>
    <n v="110076000000"/>
    <n v="123469000000"/>
    <n v="0.74086649999999998"/>
    <n v="63.691798489999996"/>
    <n v="66.311999999999998"/>
    <n v="35.1"/>
    <n v="32.279000000000003"/>
    <n v="55.57"/>
    <n v="9.6999999999999993"/>
    <n v="78.357597350000006"/>
    <n v="11478814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C8A65-E219-4F6C-B817-79FC79C5E2D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0" firstHeaderRow="1" firstDataRow="2" firstDataCol="1"/>
  <pivotFields count="18">
    <pivotField axis="axisRow" showAll="0">
      <items count="11">
        <item m="1" x="5"/>
        <item m="1" x="6"/>
        <item m="1" x="7"/>
        <item m="1" x="8"/>
        <item m="1" x="9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GDP_Growth_Annual_Pct" fld="4" subtotal="average" baseField="0" baseItem="0" numFmtId="2"/>
  </dataFields>
  <chartFormats count="8">
    <chartFormat chart="0" format="0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7595B-E013-4D4E-98EF-F7F26502C768}" name="Table1" displayName="Table1" ref="A1:R176" totalsRowShown="0">
  <autoFilter ref="A1:R176" xr:uid="{A407595B-E013-4D4E-98EF-F7F26502C768}"/>
  <tableColumns count="18">
    <tableColumn id="1" xr3:uid="{4B59C3D3-41ED-48C3-BCBC-7AB2AAEDDC24}" name="economy"/>
    <tableColumn id="2" xr3:uid="{4E78F2CA-5806-4CBC-99CE-68D0473728E3}" name="Year"/>
    <tableColumn id="3" xr3:uid="{0F0A4516-2EBE-4248-A44B-F0E024CCE641}" name="GDP_Current_USD"/>
    <tableColumn id="4" xr3:uid="{CAB3598D-9803-4932-939B-D0BCD5A6ADA0}" name="GDP_per_Capita_USD"/>
    <tableColumn id="5" xr3:uid="{51E1A16C-8CD6-4FD7-86FE-2B64E3BD16C2}" name="GDP_Growth_Annual_Pct"/>
    <tableColumn id="6" xr3:uid="{55DD96AE-9E20-4E3D-AF38-5934BEBD8251}" name="GDP_PPP"/>
    <tableColumn id="7" xr3:uid="{C3B07661-7232-43E2-AAB0-C97D3CB0917C}" name="Total_Exports_USD"/>
    <tableColumn id="8" xr3:uid="{5FB5AE37-93DC-415B-97F2-1723D480D035}" name="Total_Imports_USD"/>
    <tableColumn id="9" xr3:uid="{950F401F-EE47-4AEE-A9B3-299B224FC5A5}" name="Household_Consumption_Growth"/>
    <tableColumn id="10" xr3:uid="{2C54BE1B-C0B8-4022-A05D-6F8DAF69B926}" name="Urban_Population_Pct"/>
    <tableColumn id="11" xr3:uid="{0D168D5C-8F88-4D38-98CF-24CE11DFB9DD}" name="Life_Expectancy_Years"/>
    <tableColumn id="12" xr3:uid="{7A2C099A-4CAC-4BD0-B533-D0C82F884FD4}" name="Under5_Mortality_Rate"/>
    <tableColumn id="13" xr3:uid="{1106CA60-1D51-4930-9BC9-16530DADAAAC}" name="Unemployment_Pct"/>
    <tableColumn id="14" xr3:uid="{EDAF5822-B4AF-4C4F-8D50-998FD352F042}" name="Labor_Force_Participation_Rate"/>
    <tableColumn id="15" xr3:uid="{9D42630B-C635-4939-B4B6-599B57D667FC}" name="Renewable_Energy_Consumption_Pct"/>
    <tableColumn id="16" xr3:uid="{FDCFF70C-7891-41D2-B19D-C72EEAA554E7}" name="Internet_Users_Pct_Population"/>
    <tableColumn id="17" xr3:uid="{AE56A12E-B10A-4366-91F6-11594FEA6009}" name="Mobile_Subscriptions"/>
    <tableColumn id="18" xr3:uid="{3F4C681E-B638-41E2-989C-EED675D80A58}" name="Dec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4DE3-C4CE-49F7-9D1D-A8402925294B}">
  <dimension ref="A3:L49"/>
  <sheetViews>
    <sheetView zoomScale="69" workbookViewId="0">
      <selection activeCell="P23" sqref="P23"/>
    </sheetView>
  </sheetViews>
  <sheetFormatPr defaultRowHeight="14.4" x14ac:dyDescent="0.3"/>
  <cols>
    <col min="1" max="1" width="30.77734375" bestFit="1" customWidth="1"/>
    <col min="2" max="2" width="15.5546875" bestFit="1" customWidth="1"/>
    <col min="3" max="3" width="5.5546875" bestFit="1" customWidth="1"/>
    <col min="4" max="5" width="5" bestFit="1" customWidth="1"/>
    <col min="6" max="6" width="10.5546875" bestFit="1" customWidth="1"/>
    <col min="11" max="11" width="32.44140625" bestFit="1" customWidth="1"/>
    <col min="12" max="12" width="16.6640625" bestFit="1" customWidth="1"/>
    <col min="13" max="14" width="12.44140625" bestFit="1" customWidth="1"/>
    <col min="15" max="15" width="13" bestFit="1" customWidth="1"/>
    <col min="16" max="17" width="12.44140625" bestFit="1" customWidth="1"/>
    <col min="18" max="27" width="12" bestFit="1" customWidth="1"/>
    <col min="28" max="28" width="11" bestFit="1" customWidth="1"/>
    <col min="29" max="62" width="12" bestFit="1" customWidth="1"/>
    <col min="63" max="64" width="11" bestFit="1" customWidth="1"/>
    <col min="65" max="65" width="12" bestFit="1" customWidth="1"/>
    <col min="66" max="66" width="11" bestFit="1" customWidth="1"/>
    <col min="67" max="74" width="12" bestFit="1" customWidth="1"/>
    <col min="75" max="75" width="11" bestFit="1" customWidth="1"/>
    <col min="76" max="88" width="12" bestFit="1" customWidth="1"/>
    <col min="89" max="89" width="11" bestFit="1" customWidth="1"/>
    <col min="90" max="95" width="12" bestFit="1" customWidth="1"/>
    <col min="96" max="96" width="11" bestFit="1" customWidth="1"/>
    <col min="97" max="98" width="12" bestFit="1" customWidth="1"/>
    <col min="99" max="99" width="11" bestFit="1" customWidth="1"/>
    <col min="100" max="104" width="12" bestFit="1" customWidth="1"/>
    <col min="105" max="105" width="11" bestFit="1" customWidth="1"/>
    <col min="106" max="110" width="12" bestFit="1" customWidth="1"/>
    <col min="111" max="111" width="11" bestFit="1" customWidth="1"/>
    <col min="112" max="116" width="12" bestFit="1" customWidth="1"/>
    <col min="117" max="117" width="11" bestFit="1" customWidth="1"/>
    <col min="118" max="119" width="12" bestFit="1" customWidth="1"/>
    <col min="120" max="120" width="11" bestFit="1" customWidth="1"/>
    <col min="121" max="124" width="12" bestFit="1" customWidth="1"/>
    <col min="125" max="125" width="10" bestFit="1" customWidth="1"/>
    <col min="126" max="126" width="12" bestFit="1" customWidth="1"/>
    <col min="127" max="127" width="11" bestFit="1" customWidth="1"/>
    <col min="128" max="128" width="12" bestFit="1" customWidth="1"/>
    <col min="129" max="129" width="11" bestFit="1" customWidth="1"/>
    <col min="130" max="148" width="12" bestFit="1" customWidth="1"/>
    <col min="149" max="149" width="11" bestFit="1" customWidth="1"/>
    <col min="150" max="163" width="12" bestFit="1" customWidth="1"/>
    <col min="164" max="164" width="11" bestFit="1" customWidth="1"/>
    <col min="165" max="166" width="12" bestFit="1" customWidth="1"/>
    <col min="167" max="167" width="11" bestFit="1" customWidth="1"/>
    <col min="168" max="168" width="10" bestFit="1" customWidth="1"/>
    <col min="169" max="171" width="12" bestFit="1" customWidth="1"/>
    <col min="172" max="172" width="11" bestFit="1" customWidth="1"/>
    <col min="173" max="180" width="12" bestFit="1" customWidth="1"/>
    <col min="181" max="181" width="11" bestFit="1" customWidth="1"/>
    <col min="182" max="187" width="12" bestFit="1" customWidth="1"/>
  </cols>
  <sheetData>
    <row r="3" spans="1:6" x14ac:dyDescent="0.3">
      <c r="A3" s="2" t="s">
        <v>21</v>
      </c>
      <c r="B3" s="2" t="s">
        <v>20</v>
      </c>
    </row>
    <row r="4" spans="1:6" x14ac:dyDescent="0.3">
      <c r="A4" s="2" t="s">
        <v>18</v>
      </c>
      <c r="B4">
        <v>1990</v>
      </c>
      <c r="C4">
        <v>2000</v>
      </c>
      <c r="D4">
        <v>2010</v>
      </c>
      <c r="E4">
        <v>2020</v>
      </c>
      <c r="F4" t="s">
        <v>19</v>
      </c>
    </row>
    <row r="5" spans="1:6" x14ac:dyDescent="0.3">
      <c r="A5" s="3" t="s">
        <v>22</v>
      </c>
      <c r="B5" s="4">
        <v>1.7549217042000003</v>
      </c>
      <c r="C5" s="4">
        <v>3.3934476164000005</v>
      </c>
      <c r="D5" s="4">
        <v>1.4438236631000001</v>
      </c>
      <c r="E5" s="4">
        <v>2.2327020864000002</v>
      </c>
      <c r="F5" s="4">
        <v>2.2024411505428572</v>
      </c>
    </row>
    <row r="6" spans="1:6" x14ac:dyDescent="0.3">
      <c r="A6" s="3" t="s">
        <v>23</v>
      </c>
      <c r="B6" s="4">
        <v>10.055918453199999</v>
      </c>
      <c r="C6" s="4">
        <v>10.374790910900002</v>
      </c>
      <c r="D6" s="4">
        <v>7.6625228884000007</v>
      </c>
      <c r="E6" s="4">
        <v>4.8873324656000001</v>
      </c>
      <c r="F6" s="4">
        <v>8.7248281386571414</v>
      </c>
    </row>
    <row r="7" spans="1:6" x14ac:dyDescent="0.3">
      <c r="A7" s="3" t="s">
        <v>24</v>
      </c>
      <c r="B7" s="4">
        <v>5.7686388622000013</v>
      </c>
      <c r="C7" s="4">
        <v>6.2845815984000009</v>
      </c>
      <c r="D7" s="4">
        <v>6.6364853452000006</v>
      </c>
      <c r="E7" s="4">
        <v>5.4413506433999999</v>
      </c>
      <c r="F7" s="4">
        <v>6.1172517507142867</v>
      </c>
    </row>
    <row r="8" spans="1:6" x14ac:dyDescent="0.3">
      <c r="A8" s="3" t="s">
        <v>25</v>
      </c>
      <c r="B8" s="4">
        <v>-4.9215034160000002</v>
      </c>
      <c r="C8" s="4">
        <v>5.4799996982999994</v>
      </c>
      <c r="D8" s="4">
        <v>2.0367886745999999</v>
      </c>
      <c r="E8" s="4">
        <v>2.0407709401999998</v>
      </c>
      <c r="F8" s="4">
        <v>1.0330486934285712</v>
      </c>
    </row>
    <row r="9" spans="1:6" x14ac:dyDescent="0.3">
      <c r="A9" s="3" t="s">
        <v>26</v>
      </c>
      <c r="B9" s="4">
        <v>1.3860519698</v>
      </c>
      <c r="C9" s="4">
        <v>3.5998297017000001</v>
      </c>
      <c r="D9" s="4">
        <v>1.7464896925999998</v>
      </c>
      <c r="E9" s="4">
        <v>0.41776312720000008</v>
      </c>
      <c r="F9" s="4">
        <v>1.9832151222000001</v>
      </c>
    </row>
    <row r="10" spans="1:6" x14ac:dyDescent="0.3">
      <c r="A10" s="3" t="s">
        <v>19</v>
      </c>
      <c r="B10" s="4">
        <v>2.8088055146800017</v>
      </c>
      <c r="C10" s="4">
        <v>5.8265299051399992</v>
      </c>
      <c r="D10" s="4">
        <v>3.9052220527799992</v>
      </c>
      <c r="E10" s="4">
        <v>3.0039838525600002</v>
      </c>
      <c r="F10" s="4">
        <v>4.0121569711085714</v>
      </c>
    </row>
    <row r="49" spans="12:12" x14ac:dyDescent="0.3">
      <c r="L49" s="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335D-B041-4878-B75F-A8E0B3D1D37F}">
  <dimension ref="A1:R178"/>
  <sheetViews>
    <sheetView tabSelected="1" topLeftCell="A25" workbookViewId="0">
      <selection activeCell="D106" sqref="D106"/>
    </sheetView>
  </sheetViews>
  <sheetFormatPr defaultRowHeight="14.4" x14ac:dyDescent="0.3"/>
  <cols>
    <col min="1" max="1" width="10.44140625" customWidth="1"/>
    <col min="3" max="3" width="17.88671875" customWidth="1"/>
    <col min="4" max="4" width="20.77734375" customWidth="1"/>
    <col min="5" max="5" width="23.33203125" customWidth="1"/>
    <col min="6" max="6" width="10.6640625" customWidth="1"/>
    <col min="7" max="7" width="18.33203125" customWidth="1"/>
    <col min="8" max="8" width="18.6640625" customWidth="1"/>
    <col min="9" max="9" width="30.44140625" customWidth="1"/>
    <col min="10" max="10" width="21.21875" customWidth="1"/>
    <col min="11" max="11" width="21.5546875" customWidth="1"/>
    <col min="12" max="12" width="21.6640625" customWidth="1"/>
    <col min="13" max="13" width="19.21875" customWidth="1"/>
    <col min="14" max="14" width="29.21875" customWidth="1"/>
    <col min="15" max="15" width="33.6640625" customWidth="1"/>
    <col min="16" max="16" width="28.21875" customWidth="1"/>
    <col min="17" max="17" width="20.88671875" customWidth="1"/>
    <col min="18" max="18" width="9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22</v>
      </c>
      <c r="B2">
        <v>1990</v>
      </c>
      <c r="C2">
        <v>390726000000</v>
      </c>
      <c r="D2">
        <v>2619.8014109999999</v>
      </c>
      <c r="E2">
        <v>-4.3499999999999996</v>
      </c>
      <c r="F2">
        <v>997458000000</v>
      </c>
      <c r="G2">
        <v>31414000000</v>
      </c>
      <c r="H2">
        <v>22522000000</v>
      </c>
      <c r="I2">
        <v>-0.94053807899999997</v>
      </c>
      <c r="J2">
        <v>74.869900700000002</v>
      </c>
      <c r="K2">
        <v>65.861999999999995</v>
      </c>
      <c r="L2">
        <v>62.8</v>
      </c>
      <c r="M2">
        <v>6.8869999999999996</v>
      </c>
      <c r="N2">
        <v>64.676000000000002</v>
      </c>
      <c r="O2">
        <v>49.8</v>
      </c>
      <c r="P2">
        <v>0</v>
      </c>
      <c r="Q2">
        <v>667</v>
      </c>
      <c r="R2">
        <v>1990</v>
      </c>
    </row>
    <row r="3" spans="1:18" x14ac:dyDescent="0.3">
      <c r="A3" t="s">
        <v>22</v>
      </c>
      <c r="B3">
        <v>1991</v>
      </c>
      <c r="C3">
        <v>342609000000</v>
      </c>
      <c r="D3">
        <v>2258.1045399999998</v>
      </c>
      <c r="E3">
        <v>1.032189585</v>
      </c>
      <c r="F3">
        <v>1041830000000</v>
      </c>
      <c r="G3">
        <v>31620000000</v>
      </c>
      <c r="H3">
        <v>22947000000</v>
      </c>
      <c r="I3">
        <v>0.50040405700000001</v>
      </c>
      <c r="J3">
        <v>75.493450109999998</v>
      </c>
      <c r="K3">
        <v>66.203000000000003</v>
      </c>
      <c r="L3">
        <v>60.1</v>
      </c>
      <c r="M3">
        <v>6.8869999999999996</v>
      </c>
      <c r="N3">
        <v>64.72</v>
      </c>
      <c r="O3">
        <v>48.9</v>
      </c>
      <c r="P3">
        <v>3.29E-3</v>
      </c>
      <c r="Q3">
        <v>6700</v>
      </c>
      <c r="R3">
        <v>1990</v>
      </c>
    </row>
    <row r="4" spans="1:18" x14ac:dyDescent="0.3">
      <c r="A4" t="s">
        <v>22</v>
      </c>
      <c r="B4">
        <v>1992</v>
      </c>
      <c r="C4">
        <v>328188000000</v>
      </c>
      <c r="D4">
        <v>2127.2908299999999</v>
      </c>
      <c r="E4">
        <v>-0.544072051</v>
      </c>
      <c r="F4">
        <v>1059780000000</v>
      </c>
      <c r="G4">
        <v>35793000000</v>
      </c>
      <c r="H4">
        <v>23116000000</v>
      </c>
      <c r="I4">
        <v>9.3525186999999996E-2</v>
      </c>
      <c r="J4">
        <v>76.091087520000002</v>
      </c>
      <c r="K4">
        <v>66.539000000000001</v>
      </c>
      <c r="L4">
        <v>57.1</v>
      </c>
      <c r="M4">
        <v>7.0860000000000003</v>
      </c>
      <c r="N4">
        <v>64.981999999999999</v>
      </c>
      <c r="O4">
        <v>48.7</v>
      </c>
      <c r="P4">
        <v>1.29E-2</v>
      </c>
      <c r="Q4">
        <v>32000</v>
      </c>
      <c r="R4">
        <v>1990</v>
      </c>
    </row>
    <row r="5" spans="1:18" x14ac:dyDescent="0.3">
      <c r="A5" t="s">
        <v>22</v>
      </c>
      <c r="B5">
        <v>1993</v>
      </c>
      <c r="C5">
        <v>368296000000</v>
      </c>
      <c r="D5">
        <v>2348.9063540000002</v>
      </c>
      <c r="E5">
        <v>4.9246900050000004</v>
      </c>
      <c r="F5">
        <v>1138330000000</v>
      </c>
      <c r="G5">
        <v>38555000000</v>
      </c>
      <c r="H5">
        <v>27604000000</v>
      </c>
      <c r="I5">
        <v>4.0669878959999997</v>
      </c>
      <c r="J5">
        <v>76.640640289999993</v>
      </c>
      <c r="K5">
        <v>66.891999999999996</v>
      </c>
      <c r="L5">
        <v>53.9</v>
      </c>
      <c r="M5">
        <v>6.03</v>
      </c>
      <c r="N5">
        <v>65.227000000000004</v>
      </c>
      <c r="O5">
        <v>48.2</v>
      </c>
      <c r="P5">
        <v>2.5499999999999998E-2</v>
      </c>
      <c r="Q5">
        <v>182000</v>
      </c>
      <c r="R5">
        <v>1990</v>
      </c>
    </row>
    <row r="6" spans="1:18" x14ac:dyDescent="0.3">
      <c r="A6" t="s">
        <v>22</v>
      </c>
      <c r="B6">
        <v>1994</v>
      </c>
      <c r="C6">
        <v>525370000000</v>
      </c>
      <c r="D6">
        <v>3298.714919</v>
      </c>
      <c r="E6">
        <v>5.8528703640000002</v>
      </c>
      <c r="F6">
        <v>1230680000000</v>
      </c>
      <c r="G6">
        <v>43545000000</v>
      </c>
      <c r="H6">
        <v>36192000000</v>
      </c>
      <c r="I6">
        <v>5.8729220529999999</v>
      </c>
      <c r="J6">
        <v>77.171033890000004</v>
      </c>
      <c r="K6">
        <v>67.293000000000006</v>
      </c>
      <c r="L6">
        <v>50.8</v>
      </c>
      <c r="M6">
        <v>6.5789999999999997</v>
      </c>
      <c r="N6">
        <v>65.451999999999998</v>
      </c>
      <c r="O6">
        <v>48.3</v>
      </c>
      <c r="P6">
        <v>3.7699999999999997E-2</v>
      </c>
      <c r="Q6">
        <v>574009</v>
      </c>
      <c r="R6">
        <v>1990</v>
      </c>
    </row>
    <row r="7" spans="1:18" x14ac:dyDescent="0.3">
      <c r="A7" t="s">
        <v>22</v>
      </c>
      <c r="B7">
        <v>1995</v>
      </c>
      <c r="C7">
        <v>769333000000</v>
      </c>
      <c r="D7">
        <v>4756.7501359999997</v>
      </c>
      <c r="E7">
        <v>4.2237936339999997</v>
      </c>
      <c r="F7">
        <v>1309550000000</v>
      </c>
      <c r="G7">
        <v>46506000000</v>
      </c>
      <c r="H7">
        <v>54137000000</v>
      </c>
      <c r="I7">
        <v>7.0140040209999999</v>
      </c>
      <c r="J7">
        <v>77.714499989999993</v>
      </c>
      <c r="K7">
        <v>67.700999999999993</v>
      </c>
      <c r="L7">
        <v>47.7</v>
      </c>
      <c r="M7">
        <v>7.0919999999999996</v>
      </c>
      <c r="N7">
        <v>65.662999999999997</v>
      </c>
      <c r="O7">
        <v>46.1</v>
      </c>
      <c r="P7">
        <v>0.105</v>
      </c>
      <c r="Q7">
        <v>1285533</v>
      </c>
      <c r="R7">
        <v>1990</v>
      </c>
    </row>
    <row r="8" spans="1:18" x14ac:dyDescent="0.3">
      <c r="A8" t="s">
        <v>22</v>
      </c>
      <c r="B8">
        <v>1996</v>
      </c>
      <c r="C8">
        <v>850426000000</v>
      </c>
      <c r="D8">
        <v>5179.1305199999997</v>
      </c>
      <c r="E8">
        <v>2.2088640509999999</v>
      </c>
      <c r="F8">
        <v>1362990000000</v>
      </c>
      <c r="G8">
        <v>47747000000</v>
      </c>
      <c r="H8">
        <v>56981000000</v>
      </c>
      <c r="I8">
        <v>1.9847977729999999</v>
      </c>
      <c r="J8">
        <v>78.302141550000002</v>
      </c>
      <c r="K8">
        <v>68.108000000000004</v>
      </c>
      <c r="L8">
        <v>44.7</v>
      </c>
      <c r="M8">
        <v>8.0350000000000001</v>
      </c>
      <c r="N8">
        <v>63.948999999999998</v>
      </c>
      <c r="O8">
        <v>44.5</v>
      </c>
      <c r="P8">
        <v>0.45100000000000001</v>
      </c>
      <c r="Q8">
        <v>2498154</v>
      </c>
      <c r="R8">
        <v>1990</v>
      </c>
    </row>
    <row r="9" spans="1:18" x14ac:dyDescent="0.3">
      <c r="A9" t="s">
        <v>22</v>
      </c>
      <c r="B9">
        <v>1997</v>
      </c>
      <c r="C9">
        <v>883206000000</v>
      </c>
      <c r="D9">
        <v>5299.3979419999996</v>
      </c>
      <c r="E9">
        <v>3.3948459849999999</v>
      </c>
      <c r="F9">
        <v>1433560000000</v>
      </c>
      <c r="G9">
        <v>52994000000</v>
      </c>
      <c r="H9">
        <v>64242000000</v>
      </c>
      <c r="I9">
        <v>2.6173997550000001</v>
      </c>
      <c r="J9">
        <v>79.000849389999999</v>
      </c>
      <c r="K9">
        <v>68.504999999999995</v>
      </c>
      <c r="L9">
        <v>41.9</v>
      </c>
      <c r="M9">
        <v>9.0030000000000001</v>
      </c>
      <c r="N9">
        <v>64.787000000000006</v>
      </c>
      <c r="O9">
        <v>43.7</v>
      </c>
      <c r="P9">
        <v>0.78600000000000003</v>
      </c>
      <c r="Q9">
        <v>4550000</v>
      </c>
      <c r="R9">
        <v>1990</v>
      </c>
    </row>
    <row r="10" spans="1:18" x14ac:dyDescent="0.3">
      <c r="A10" t="s">
        <v>22</v>
      </c>
      <c r="B10">
        <v>1998</v>
      </c>
      <c r="C10">
        <v>863711000000</v>
      </c>
      <c r="D10">
        <v>5105.8924619999998</v>
      </c>
      <c r="E10">
        <v>0.33809790200000001</v>
      </c>
      <c r="F10">
        <v>1454570000000</v>
      </c>
      <c r="G10">
        <v>51140000000</v>
      </c>
      <c r="H10">
        <v>60652000000</v>
      </c>
      <c r="I10">
        <v>0.187569707</v>
      </c>
      <c r="J10">
        <v>79.789068169999993</v>
      </c>
      <c r="K10">
        <v>68.847999999999999</v>
      </c>
      <c r="L10">
        <v>39.299999999999997</v>
      </c>
      <c r="M10">
        <v>10.15</v>
      </c>
      <c r="N10">
        <v>64.921999999999997</v>
      </c>
      <c r="O10">
        <v>43.8</v>
      </c>
      <c r="P10">
        <v>1.48</v>
      </c>
      <c r="Q10">
        <v>7368218</v>
      </c>
      <c r="R10">
        <v>1990</v>
      </c>
    </row>
    <row r="11" spans="1:18" x14ac:dyDescent="0.3">
      <c r="A11" t="s">
        <v>22</v>
      </c>
      <c r="B11">
        <v>1999</v>
      </c>
      <c r="C11">
        <v>599642000000</v>
      </c>
      <c r="D11">
        <v>3493.5719199999999</v>
      </c>
      <c r="E11">
        <v>0.467937567</v>
      </c>
      <c r="F11">
        <v>1482060000000</v>
      </c>
      <c r="G11">
        <v>48013000000</v>
      </c>
      <c r="H11">
        <v>51767000000</v>
      </c>
      <c r="I11">
        <v>0.69045900999999998</v>
      </c>
      <c r="J11">
        <v>80.546606130000001</v>
      </c>
      <c r="K11">
        <v>69.210999999999999</v>
      </c>
      <c r="L11">
        <v>36.799999999999997</v>
      </c>
      <c r="M11">
        <v>11.125</v>
      </c>
      <c r="N11">
        <v>65.594999999999999</v>
      </c>
      <c r="O11">
        <v>44</v>
      </c>
      <c r="P11">
        <v>2.04</v>
      </c>
      <c r="Q11">
        <v>15032698</v>
      </c>
      <c r="R11">
        <v>1990</v>
      </c>
    </row>
    <row r="12" spans="1:18" x14ac:dyDescent="0.3">
      <c r="A12" t="s">
        <v>22</v>
      </c>
      <c r="B12">
        <v>2000</v>
      </c>
      <c r="C12">
        <v>655448000000</v>
      </c>
      <c r="D12">
        <v>3766.5478629999998</v>
      </c>
      <c r="E12">
        <v>4.3879494440000002</v>
      </c>
      <c r="F12">
        <v>1582130000000</v>
      </c>
      <c r="G12">
        <v>55119000000</v>
      </c>
      <c r="H12">
        <v>58643000000</v>
      </c>
      <c r="I12">
        <v>3.0526888259999998</v>
      </c>
      <c r="J12">
        <v>81.148436540000006</v>
      </c>
      <c r="K12">
        <v>69.584000000000003</v>
      </c>
      <c r="L12">
        <v>34.4</v>
      </c>
      <c r="M12">
        <v>10.888999999999999</v>
      </c>
      <c r="N12">
        <v>65.807000000000002</v>
      </c>
      <c r="O12">
        <v>42.7</v>
      </c>
      <c r="P12">
        <v>2.8706851590000002</v>
      </c>
      <c r="Q12">
        <v>23188171</v>
      </c>
      <c r="R12">
        <v>2000</v>
      </c>
    </row>
    <row r="13" spans="1:18" x14ac:dyDescent="0.3">
      <c r="A13" t="s">
        <v>22</v>
      </c>
      <c r="B13">
        <v>2001</v>
      </c>
      <c r="C13">
        <v>559984000000</v>
      </c>
      <c r="D13">
        <v>3176.2897509999998</v>
      </c>
      <c r="E13">
        <v>1.3898964039999999</v>
      </c>
      <c r="F13">
        <v>1640240000000</v>
      </c>
      <c r="G13">
        <v>58287000000</v>
      </c>
      <c r="H13">
        <v>58382000000</v>
      </c>
      <c r="I13">
        <v>1.186604695</v>
      </c>
      <c r="J13">
        <v>81.596045059999994</v>
      </c>
      <c r="K13">
        <v>69.98</v>
      </c>
      <c r="L13">
        <v>32.200000000000003</v>
      </c>
      <c r="M13">
        <v>10.648999999999999</v>
      </c>
      <c r="N13">
        <v>66.034000000000006</v>
      </c>
      <c r="O13">
        <v>41.3</v>
      </c>
      <c r="P13">
        <v>4.5284948690000002</v>
      </c>
      <c r="Q13">
        <v>28745769</v>
      </c>
      <c r="R13">
        <v>2000</v>
      </c>
    </row>
    <row r="14" spans="1:18" x14ac:dyDescent="0.3">
      <c r="A14" t="s">
        <v>22</v>
      </c>
      <c r="B14">
        <v>2002</v>
      </c>
      <c r="C14">
        <v>509795000000</v>
      </c>
      <c r="D14">
        <v>2855.9401710000002</v>
      </c>
      <c r="E14">
        <v>3.0534618569999998</v>
      </c>
      <c r="F14">
        <v>1716600000000</v>
      </c>
      <c r="G14">
        <v>60439000000</v>
      </c>
      <c r="H14">
        <v>49723000000</v>
      </c>
      <c r="I14">
        <v>1.8977427419999999</v>
      </c>
      <c r="J14">
        <v>81.994349150000005</v>
      </c>
      <c r="K14">
        <v>70.396000000000001</v>
      </c>
      <c r="L14">
        <v>30.1</v>
      </c>
      <c r="M14">
        <v>10.641</v>
      </c>
      <c r="N14">
        <v>66.974999999999994</v>
      </c>
      <c r="O14">
        <v>42.9</v>
      </c>
      <c r="P14">
        <v>9.1494250860000008</v>
      </c>
      <c r="Q14">
        <v>34880964</v>
      </c>
      <c r="R14">
        <v>2000</v>
      </c>
    </row>
    <row r="15" spans="1:18" x14ac:dyDescent="0.3">
      <c r="A15" t="s">
        <v>22</v>
      </c>
      <c r="B15">
        <v>2003</v>
      </c>
      <c r="C15">
        <v>558234000000</v>
      </c>
      <c r="D15">
        <v>3090.6068909999999</v>
      </c>
      <c r="E15">
        <v>1.140828999</v>
      </c>
      <c r="F15">
        <v>1770460000000</v>
      </c>
      <c r="G15">
        <v>73203000000</v>
      </c>
      <c r="H15">
        <v>50881000000</v>
      </c>
      <c r="I15">
        <v>-2.6542448999999999E-2</v>
      </c>
      <c r="J15">
        <v>82.354033580000007</v>
      </c>
      <c r="K15">
        <v>70.884</v>
      </c>
      <c r="L15">
        <v>28.2</v>
      </c>
      <c r="M15">
        <v>11.167999999999999</v>
      </c>
      <c r="N15">
        <v>66.897999999999996</v>
      </c>
      <c r="O15">
        <v>45.1</v>
      </c>
      <c r="P15">
        <v>13.2075861</v>
      </c>
      <c r="Q15">
        <v>46373266</v>
      </c>
      <c r="R15">
        <v>2000</v>
      </c>
    </row>
    <row r="16" spans="1:18" x14ac:dyDescent="0.3">
      <c r="A16" t="s">
        <v>22</v>
      </c>
      <c r="B16">
        <v>2004</v>
      </c>
      <c r="C16">
        <v>669289000000</v>
      </c>
      <c r="D16">
        <v>3663.8226249999998</v>
      </c>
      <c r="E16">
        <v>5.7599646370000004</v>
      </c>
      <c r="F16">
        <v>1922790000000</v>
      </c>
      <c r="G16">
        <v>96678000000</v>
      </c>
      <c r="H16">
        <v>66433000000</v>
      </c>
      <c r="I16">
        <v>3.9123060779999999</v>
      </c>
      <c r="J16">
        <v>82.681682480000006</v>
      </c>
      <c r="K16">
        <v>71.361000000000004</v>
      </c>
      <c r="L16">
        <v>26.3</v>
      </c>
      <c r="M16">
        <v>10.071999999999999</v>
      </c>
      <c r="N16">
        <v>67.364000000000004</v>
      </c>
      <c r="O16">
        <v>45.2</v>
      </c>
      <c r="P16">
        <v>19.073672269999999</v>
      </c>
      <c r="Q16">
        <v>65605000</v>
      </c>
      <c r="R16">
        <v>2000</v>
      </c>
    </row>
    <row r="17" spans="1:18" x14ac:dyDescent="0.3">
      <c r="A17" t="s">
        <v>22</v>
      </c>
      <c r="B17">
        <v>2005</v>
      </c>
      <c r="C17">
        <v>891634000000</v>
      </c>
      <c r="D17">
        <v>4827.7816590000002</v>
      </c>
      <c r="E17">
        <v>3.202132062</v>
      </c>
      <c r="F17">
        <v>2046570000000</v>
      </c>
      <c r="G17">
        <v>118529000000</v>
      </c>
      <c r="H17">
        <v>77628000000</v>
      </c>
      <c r="I17">
        <v>3.855949088</v>
      </c>
      <c r="J17">
        <v>82.983879959999996</v>
      </c>
      <c r="K17">
        <v>71.831999999999994</v>
      </c>
      <c r="L17">
        <v>24.6</v>
      </c>
      <c r="M17">
        <v>10.551</v>
      </c>
      <c r="N17">
        <v>68.05</v>
      </c>
      <c r="O17">
        <v>46.1</v>
      </c>
      <c r="P17">
        <v>21.022747249999998</v>
      </c>
      <c r="Q17">
        <v>86210336</v>
      </c>
      <c r="R17">
        <v>2000</v>
      </c>
    </row>
    <row r="18" spans="1:18" x14ac:dyDescent="0.3">
      <c r="A18" t="s">
        <v>22</v>
      </c>
      <c r="B18">
        <v>2006</v>
      </c>
      <c r="C18">
        <v>1107630000000</v>
      </c>
      <c r="D18">
        <v>5934.1456189999999</v>
      </c>
      <c r="E18">
        <v>3.9619887089999999</v>
      </c>
      <c r="F18">
        <v>2193270000000</v>
      </c>
      <c r="G18">
        <v>137581000000</v>
      </c>
      <c r="H18">
        <v>97049000000</v>
      </c>
      <c r="I18">
        <v>4.8745376169999997</v>
      </c>
      <c r="J18">
        <v>83.267210140000003</v>
      </c>
      <c r="K18">
        <v>72.296000000000006</v>
      </c>
      <c r="L18">
        <v>23.1</v>
      </c>
      <c r="M18">
        <v>9.6920000000000002</v>
      </c>
      <c r="N18">
        <v>67.704999999999998</v>
      </c>
      <c r="O18">
        <v>46.7</v>
      </c>
      <c r="P18">
        <v>28.17840004</v>
      </c>
      <c r="Q18">
        <v>99918621</v>
      </c>
      <c r="R18">
        <v>2000</v>
      </c>
    </row>
    <row r="19" spans="1:18" x14ac:dyDescent="0.3">
      <c r="A19" t="s">
        <v>22</v>
      </c>
      <c r="B19">
        <v>2007</v>
      </c>
      <c r="C19">
        <v>1397110000000</v>
      </c>
      <c r="D19">
        <v>7409.6900379999997</v>
      </c>
      <c r="E19">
        <v>6.0698706070000004</v>
      </c>
      <c r="F19">
        <v>2389430000000</v>
      </c>
      <c r="G19">
        <v>159816000000</v>
      </c>
      <c r="H19">
        <v>128111000000</v>
      </c>
      <c r="I19">
        <v>5.8235904300000003</v>
      </c>
      <c r="J19">
        <v>83.538257130000005</v>
      </c>
      <c r="K19">
        <v>72.73</v>
      </c>
      <c r="L19">
        <v>21.7</v>
      </c>
      <c r="M19">
        <v>9.2799999999999994</v>
      </c>
      <c r="N19">
        <v>67.295000000000002</v>
      </c>
      <c r="O19">
        <v>47.2</v>
      </c>
      <c r="P19">
        <v>30.879999160000001</v>
      </c>
      <c r="Q19">
        <v>120980103</v>
      </c>
      <c r="R19">
        <v>2000</v>
      </c>
    </row>
    <row r="20" spans="1:18" x14ac:dyDescent="0.3">
      <c r="A20" t="s">
        <v>22</v>
      </c>
      <c r="B20">
        <v>2008</v>
      </c>
      <c r="C20">
        <v>1695860000000</v>
      </c>
      <c r="D20">
        <v>8908.3333849999999</v>
      </c>
      <c r="E20">
        <v>5.0941954479999998</v>
      </c>
      <c r="F20">
        <v>2559540000000</v>
      </c>
      <c r="G20">
        <v>195765000000</v>
      </c>
      <c r="H20">
        <v>183921000000</v>
      </c>
      <c r="I20">
        <v>5.4021550630000004</v>
      </c>
      <c r="J20">
        <v>83.803605059999995</v>
      </c>
      <c r="K20">
        <v>73.111000000000004</v>
      </c>
      <c r="L20">
        <v>20.5</v>
      </c>
      <c r="M20">
        <v>8.2680000000000007</v>
      </c>
      <c r="N20">
        <v>67.173000000000002</v>
      </c>
      <c r="O20">
        <v>47</v>
      </c>
      <c r="P20">
        <v>33.83</v>
      </c>
      <c r="Q20">
        <v>150641403</v>
      </c>
      <c r="R20">
        <v>2000</v>
      </c>
    </row>
    <row r="21" spans="1:18" x14ac:dyDescent="0.3">
      <c r="A21" t="s">
        <v>22</v>
      </c>
      <c r="B21">
        <v>2009</v>
      </c>
      <c r="C21">
        <v>1667000000000</v>
      </c>
      <c r="D21">
        <v>8678.6584729999995</v>
      </c>
      <c r="E21">
        <v>-0.12581200300000001</v>
      </c>
      <c r="F21">
        <v>2572080000000</v>
      </c>
      <c r="G21">
        <v>151792000000</v>
      </c>
      <c r="H21">
        <v>135378000000</v>
      </c>
      <c r="I21">
        <v>4.0940373000000001</v>
      </c>
      <c r="J21">
        <v>84.06983803</v>
      </c>
      <c r="K21">
        <v>73.456999999999994</v>
      </c>
      <c r="L21">
        <v>19.5</v>
      </c>
      <c r="M21">
        <v>9.4190000000000005</v>
      </c>
      <c r="N21">
        <v>67.400999999999996</v>
      </c>
      <c r="O21">
        <v>48.9</v>
      </c>
      <c r="P21">
        <v>39.22</v>
      </c>
      <c r="Q21">
        <v>169385584</v>
      </c>
      <c r="R21">
        <v>2000</v>
      </c>
    </row>
    <row r="22" spans="1:18" x14ac:dyDescent="0.3">
      <c r="A22" t="s">
        <v>22</v>
      </c>
      <c r="B22">
        <v>2010</v>
      </c>
      <c r="C22">
        <v>2208840000000</v>
      </c>
      <c r="D22">
        <v>11403.284</v>
      </c>
      <c r="E22">
        <v>7.5282258180000001</v>
      </c>
      <c r="F22">
        <v>2799330000000</v>
      </c>
      <c r="G22">
        <v>200434000000</v>
      </c>
      <c r="H22">
        <v>193184000000</v>
      </c>
      <c r="I22">
        <v>5.673445267</v>
      </c>
      <c r="J22">
        <v>84.343846040000003</v>
      </c>
      <c r="K22">
        <v>73.778999999999996</v>
      </c>
      <c r="L22">
        <v>18.600000000000001</v>
      </c>
      <c r="M22">
        <v>8.42</v>
      </c>
      <c r="N22">
        <v>66.144999999999996</v>
      </c>
      <c r="O22">
        <v>46.8</v>
      </c>
      <c r="P22">
        <v>40.65</v>
      </c>
      <c r="Q22">
        <v>196929978</v>
      </c>
      <c r="R22">
        <v>2010</v>
      </c>
    </row>
    <row r="23" spans="1:18" x14ac:dyDescent="0.3">
      <c r="A23" t="s">
        <v>22</v>
      </c>
      <c r="B23">
        <v>2011</v>
      </c>
      <c r="C23">
        <v>2616160000000</v>
      </c>
      <c r="D23">
        <v>13396.626319999999</v>
      </c>
      <c r="E23">
        <v>3.9744230790000001</v>
      </c>
      <c r="F23">
        <v>2970630000000</v>
      </c>
      <c r="G23">
        <v>253666000000</v>
      </c>
      <c r="H23">
        <v>238706000000</v>
      </c>
      <c r="I23">
        <v>4.1910823600000002</v>
      </c>
      <c r="J23">
        <v>84.622575859999998</v>
      </c>
      <c r="K23">
        <v>74.046999999999997</v>
      </c>
      <c r="L23">
        <v>17.899999999999999</v>
      </c>
      <c r="M23">
        <v>7.5780000000000003</v>
      </c>
      <c r="N23">
        <v>64.87</v>
      </c>
      <c r="O23">
        <v>45.2</v>
      </c>
      <c r="P23">
        <v>45.69</v>
      </c>
      <c r="Q23">
        <v>234357507</v>
      </c>
      <c r="R23">
        <v>2010</v>
      </c>
    </row>
    <row r="24" spans="1:18" x14ac:dyDescent="0.3">
      <c r="A24" t="s">
        <v>22</v>
      </c>
      <c r="B24">
        <v>2012</v>
      </c>
      <c r="C24">
        <v>2465230000000</v>
      </c>
      <c r="D24">
        <v>12521.72385</v>
      </c>
      <c r="E24">
        <v>1.9211759850000001</v>
      </c>
      <c r="F24">
        <v>2992140000000</v>
      </c>
      <c r="G24">
        <v>239953000000</v>
      </c>
      <c r="H24">
        <v>235404000000</v>
      </c>
      <c r="I24">
        <v>3.2103545969999998</v>
      </c>
      <c r="J24">
        <v>84.897387420000001</v>
      </c>
      <c r="K24">
        <v>74.334999999999994</v>
      </c>
      <c r="L24">
        <v>17.2</v>
      </c>
      <c r="M24">
        <v>7.2510000000000003</v>
      </c>
      <c r="N24">
        <v>64.409000000000006</v>
      </c>
      <c r="O24">
        <v>43.5</v>
      </c>
      <c r="P24">
        <v>48.56</v>
      </c>
      <c r="Q24">
        <v>248323703</v>
      </c>
      <c r="R24">
        <v>2010</v>
      </c>
    </row>
    <row r="25" spans="1:18" x14ac:dyDescent="0.3">
      <c r="A25" t="s">
        <v>22</v>
      </c>
      <c r="B25">
        <v>2013</v>
      </c>
      <c r="C25">
        <v>2472820000000</v>
      </c>
      <c r="D25">
        <v>12458.89034</v>
      </c>
      <c r="E25">
        <v>3.0048226699999998</v>
      </c>
      <c r="F25">
        <v>3120540000000</v>
      </c>
      <c r="G25">
        <v>232544000000</v>
      </c>
      <c r="H25">
        <v>252282000000</v>
      </c>
      <c r="I25">
        <v>3.0165128000000001</v>
      </c>
      <c r="J25">
        <v>85.167658540000005</v>
      </c>
      <c r="K25">
        <v>74.608999999999995</v>
      </c>
      <c r="L25">
        <v>16.7</v>
      </c>
      <c r="M25">
        <v>7.0709999999999997</v>
      </c>
      <c r="N25">
        <v>64.313999999999993</v>
      </c>
      <c r="O25">
        <v>42.3</v>
      </c>
      <c r="P25">
        <v>51.04</v>
      </c>
      <c r="Q25">
        <v>271099799</v>
      </c>
      <c r="R25">
        <v>2010</v>
      </c>
    </row>
    <row r="26" spans="1:18" x14ac:dyDescent="0.3">
      <c r="A26" t="s">
        <v>22</v>
      </c>
      <c r="B26">
        <v>2014</v>
      </c>
      <c r="C26">
        <v>2456040000000</v>
      </c>
      <c r="D26">
        <v>12274.99416</v>
      </c>
      <c r="E26">
        <v>0.50395573999999999</v>
      </c>
      <c r="F26">
        <v>3166810000000</v>
      </c>
      <c r="G26">
        <v>220923000000</v>
      </c>
      <c r="H26">
        <v>240763000000</v>
      </c>
      <c r="I26">
        <v>1.913466678</v>
      </c>
      <c r="J26">
        <v>85.433136790000006</v>
      </c>
      <c r="K26">
        <v>74.822999999999993</v>
      </c>
      <c r="L26">
        <v>16.3</v>
      </c>
      <c r="M26">
        <v>6.7549999999999999</v>
      </c>
      <c r="N26">
        <v>64.039000000000001</v>
      </c>
      <c r="O26">
        <v>41.7</v>
      </c>
      <c r="P26">
        <v>54.551001880000001</v>
      </c>
      <c r="Q26">
        <v>280728796</v>
      </c>
      <c r="R26">
        <v>2010</v>
      </c>
    </row>
    <row r="27" spans="1:18" x14ac:dyDescent="0.3">
      <c r="A27" t="s">
        <v>22</v>
      </c>
      <c r="B27">
        <v>2015</v>
      </c>
      <c r="C27">
        <v>1802210000000</v>
      </c>
      <c r="D27">
        <v>8936.1955890000008</v>
      </c>
      <c r="E27">
        <v>-3.5457633930000001</v>
      </c>
      <c r="F27">
        <v>2989120000000</v>
      </c>
      <c r="G27">
        <v>186782000000</v>
      </c>
      <c r="H27">
        <v>180460000000</v>
      </c>
      <c r="I27">
        <v>-2.8013111140000002</v>
      </c>
      <c r="J27">
        <v>85.693569710000006</v>
      </c>
      <c r="K27">
        <v>75.105999999999995</v>
      </c>
      <c r="L27">
        <v>16</v>
      </c>
      <c r="M27">
        <v>8.5380000000000003</v>
      </c>
      <c r="N27">
        <v>64.275000000000006</v>
      </c>
      <c r="O27">
        <v>43.7</v>
      </c>
      <c r="P27">
        <v>58.327951730000002</v>
      </c>
      <c r="Q27">
        <v>257814274</v>
      </c>
      <c r="R27">
        <v>2010</v>
      </c>
    </row>
    <row r="28" spans="1:18" x14ac:dyDescent="0.3">
      <c r="A28" t="s">
        <v>22</v>
      </c>
      <c r="B28">
        <v>2016</v>
      </c>
      <c r="C28">
        <v>1795690000000</v>
      </c>
      <c r="D28">
        <v>8836.2854599999991</v>
      </c>
      <c r="E28">
        <v>-3.275916906</v>
      </c>
      <c r="F28">
        <v>2907890000000</v>
      </c>
      <c r="G28">
        <v>179526000000</v>
      </c>
      <c r="H28">
        <v>145248000000</v>
      </c>
      <c r="I28">
        <v>-2.8811570039999999</v>
      </c>
      <c r="J28">
        <v>85.948704840000005</v>
      </c>
      <c r="K28">
        <v>75.081000000000003</v>
      </c>
      <c r="L28">
        <v>16.8</v>
      </c>
      <c r="M28">
        <v>11.58</v>
      </c>
      <c r="N28">
        <v>64.290000000000006</v>
      </c>
      <c r="O28">
        <v>45.4</v>
      </c>
      <c r="P28">
        <v>60.872540069999999</v>
      </c>
      <c r="Q28">
        <v>244067356</v>
      </c>
      <c r="R28">
        <v>2010</v>
      </c>
    </row>
    <row r="29" spans="1:18" x14ac:dyDescent="0.3">
      <c r="A29" t="s">
        <v>22</v>
      </c>
      <c r="B29">
        <v>2017</v>
      </c>
      <c r="C29">
        <v>2063510000000</v>
      </c>
      <c r="D29">
        <v>10080.507869999999</v>
      </c>
      <c r="E29">
        <v>1.3228690540000001</v>
      </c>
      <c r="F29">
        <v>2980290000000</v>
      </c>
      <c r="G29">
        <v>214988000000</v>
      </c>
      <c r="H29">
        <v>165855000000</v>
      </c>
      <c r="I29">
        <v>1.3401608549999999</v>
      </c>
      <c r="J29">
        <v>86.198289759999994</v>
      </c>
      <c r="K29">
        <v>75.382999999999996</v>
      </c>
      <c r="L29">
        <v>15.4</v>
      </c>
      <c r="M29">
        <v>12.792</v>
      </c>
      <c r="N29">
        <v>64.525000000000006</v>
      </c>
      <c r="O29">
        <v>45.3</v>
      </c>
      <c r="P29">
        <v>67.471284519999998</v>
      </c>
      <c r="Q29">
        <v>221269215</v>
      </c>
      <c r="R29">
        <v>2010</v>
      </c>
    </row>
    <row r="30" spans="1:18" x14ac:dyDescent="0.3">
      <c r="A30" t="s">
        <v>22</v>
      </c>
      <c r="B30">
        <v>2018</v>
      </c>
      <c r="C30">
        <v>1916930000000</v>
      </c>
      <c r="D30">
        <v>9300.6607289999993</v>
      </c>
      <c r="E30">
        <v>1.7836667610000001</v>
      </c>
      <c r="F30">
        <v>3187190000000</v>
      </c>
      <c r="G30">
        <v>231890000000</v>
      </c>
      <c r="H30">
        <v>192840000000</v>
      </c>
      <c r="I30">
        <v>1.9898414659999999</v>
      </c>
      <c r="J30">
        <v>86.442071990000002</v>
      </c>
      <c r="K30">
        <v>75.632999999999996</v>
      </c>
      <c r="L30">
        <v>15.2</v>
      </c>
      <c r="M30">
        <v>12.329000000000001</v>
      </c>
      <c r="N30">
        <v>64.501000000000005</v>
      </c>
      <c r="O30">
        <v>46.9</v>
      </c>
      <c r="P30">
        <v>70.434282539999998</v>
      </c>
      <c r="Q30">
        <v>209410048</v>
      </c>
      <c r="R30">
        <v>2010</v>
      </c>
    </row>
    <row r="31" spans="1:18" x14ac:dyDescent="0.3">
      <c r="A31" t="s">
        <v>22</v>
      </c>
      <c r="B31">
        <v>2019</v>
      </c>
      <c r="C31">
        <v>1873290000000</v>
      </c>
      <c r="D31">
        <v>9029.8330440000009</v>
      </c>
      <c r="E31">
        <v>1.2207778229999999</v>
      </c>
      <c r="F31">
        <v>3333780000000</v>
      </c>
      <c r="G31">
        <v>221127000000</v>
      </c>
      <c r="H31">
        <v>193162000000</v>
      </c>
      <c r="I31">
        <v>1.8699061589999999</v>
      </c>
      <c r="J31">
        <v>86.679799110000005</v>
      </c>
      <c r="K31">
        <v>75.808999999999997</v>
      </c>
      <c r="L31">
        <v>15</v>
      </c>
      <c r="M31">
        <v>11.936</v>
      </c>
      <c r="N31">
        <v>64.887</v>
      </c>
      <c r="O31">
        <v>47.5</v>
      </c>
      <c r="P31">
        <v>73.912439910000003</v>
      </c>
      <c r="Q31">
        <v>202009209</v>
      </c>
      <c r="R31">
        <v>2010</v>
      </c>
    </row>
    <row r="32" spans="1:18" x14ac:dyDescent="0.3">
      <c r="A32" t="s">
        <v>22</v>
      </c>
      <c r="B32">
        <v>2020</v>
      </c>
      <c r="C32">
        <v>1476110000000</v>
      </c>
      <c r="D32">
        <v>7074.1940750000003</v>
      </c>
      <c r="E32">
        <v>-3.2767587960000002</v>
      </c>
      <c r="F32">
        <v>3359780000000</v>
      </c>
      <c r="G32">
        <v>209180000000</v>
      </c>
      <c r="H32">
        <v>166336000000</v>
      </c>
      <c r="I32">
        <v>-4.358738175</v>
      </c>
      <c r="J32">
        <v>86.911218649999995</v>
      </c>
      <c r="K32">
        <v>74.506</v>
      </c>
      <c r="L32">
        <v>14.9</v>
      </c>
      <c r="M32">
        <v>13.696999999999999</v>
      </c>
      <c r="N32">
        <v>60.478999999999999</v>
      </c>
      <c r="O32">
        <v>50</v>
      </c>
      <c r="P32">
        <v>81.342693530000005</v>
      </c>
      <c r="Q32">
        <v>205834781</v>
      </c>
      <c r="R32">
        <v>2020</v>
      </c>
    </row>
    <row r="33" spans="1:18" x14ac:dyDescent="0.3">
      <c r="A33" t="s">
        <v>22</v>
      </c>
      <c r="B33">
        <v>2021</v>
      </c>
      <c r="C33">
        <v>1670650000000</v>
      </c>
      <c r="D33">
        <v>7972.5369609999998</v>
      </c>
      <c r="E33">
        <v>4.76260438</v>
      </c>
      <c r="F33">
        <v>3787770000000</v>
      </c>
      <c r="G33">
        <v>280815000000</v>
      </c>
      <c r="H33">
        <v>234690000000</v>
      </c>
      <c r="I33">
        <v>3.2513845209999999</v>
      </c>
      <c r="J33">
        <v>87.136078170000005</v>
      </c>
      <c r="K33">
        <v>73.037999999999997</v>
      </c>
      <c r="L33">
        <v>14.7</v>
      </c>
      <c r="M33">
        <v>13.157999999999999</v>
      </c>
      <c r="N33">
        <v>62.456000000000003</v>
      </c>
      <c r="O33">
        <v>46.5</v>
      </c>
      <c r="P33">
        <v>80.689893139999995</v>
      </c>
      <c r="Q33">
        <v>219660524</v>
      </c>
      <c r="R33">
        <v>2020</v>
      </c>
    </row>
    <row r="34" spans="1:18" x14ac:dyDescent="0.3">
      <c r="A34" t="s">
        <v>22</v>
      </c>
      <c r="B34">
        <v>2022</v>
      </c>
      <c r="C34">
        <v>1951920000000</v>
      </c>
      <c r="D34">
        <v>9281.332821</v>
      </c>
      <c r="E34">
        <v>3.0166943540000002</v>
      </c>
      <c r="F34">
        <v>4180230000000</v>
      </c>
      <c r="G34">
        <v>334136000000</v>
      </c>
      <c r="H34">
        <v>292245000000</v>
      </c>
      <c r="I34">
        <v>3.71</v>
      </c>
      <c r="J34">
        <v>87.349556239999998</v>
      </c>
      <c r="K34">
        <v>74.872</v>
      </c>
      <c r="L34">
        <v>14.6</v>
      </c>
      <c r="M34">
        <v>9.2309999999999999</v>
      </c>
      <c r="N34">
        <v>63.527000000000001</v>
      </c>
      <c r="O34">
        <v>46.5</v>
      </c>
      <c r="P34">
        <v>80.527750940000004</v>
      </c>
      <c r="Q34">
        <v>212925716</v>
      </c>
      <c r="R34">
        <v>2020</v>
      </c>
    </row>
    <row r="35" spans="1:18" x14ac:dyDescent="0.3">
      <c r="A35" t="s">
        <v>22</v>
      </c>
      <c r="B35">
        <v>2023</v>
      </c>
      <c r="C35">
        <v>2191130000000</v>
      </c>
      <c r="D35">
        <v>10377.58977</v>
      </c>
      <c r="E35">
        <v>3.2416553279999998</v>
      </c>
      <c r="F35">
        <v>4471040000000</v>
      </c>
      <c r="G35">
        <v>339696000000</v>
      </c>
      <c r="H35">
        <v>252710000000</v>
      </c>
      <c r="I35">
        <v>3.36</v>
      </c>
      <c r="J35">
        <v>87.615971020000003</v>
      </c>
      <c r="K35">
        <v>75.847999999999999</v>
      </c>
      <c r="L35">
        <v>14.4</v>
      </c>
      <c r="M35">
        <v>7.9470000000000001</v>
      </c>
      <c r="N35">
        <v>62.914999999999999</v>
      </c>
      <c r="O35">
        <v>46.5</v>
      </c>
      <c r="P35">
        <v>84.150602379999995</v>
      </c>
      <c r="Q35">
        <v>213294905</v>
      </c>
      <c r="R35">
        <v>2020</v>
      </c>
    </row>
    <row r="36" spans="1:18" x14ac:dyDescent="0.3">
      <c r="A36" t="s">
        <v>22</v>
      </c>
      <c r="B36">
        <v>2024</v>
      </c>
      <c r="C36">
        <v>2185820000000</v>
      </c>
      <c r="D36">
        <v>10310.54888</v>
      </c>
      <c r="E36">
        <v>3.4193151660000001</v>
      </c>
      <c r="F36">
        <v>4735730000000</v>
      </c>
      <c r="G36">
        <v>337046000000</v>
      </c>
      <c r="H36">
        <v>277954000000</v>
      </c>
      <c r="I36">
        <v>4.17</v>
      </c>
      <c r="J36">
        <v>87.89585495</v>
      </c>
      <c r="K36">
        <v>76.022999999999996</v>
      </c>
      <c r="L36">
        <v>14.2</v>
      </c>
      <c r="M36">
        <v>6.8010000000000002</v>
      </c>
      <c r="N36">
        <v>63.338999999999999</v>
      </c>
      <c r="O36">
        <v>46.5</v>
      </c>
      <c r="P36">
        <v>84.463472269999997</v>
      </c>
      <c r="Q36">
        <v>216083460</v>
      </c>
      <c r="R36">
        <v>2020</v>
      </c>
    </row>
    <row r="37" spans="1:18" x14ac:dyDescent="0.3">
      <c r="A37" t="s">
        <v>23</v>
      </c>
      <c r="B37">
        <v>1990</v>
      </c>
      <c r="C37">
        <v>361560000000</v>
      </c>
      <c r="D37">
        <v>318.50335360000003</v>
      </c>
      <c r="E37">
        <v>3.9416305980000002</v>
      </c>
      <c r="F37">
        <v>1124710000000</v>
      </c>
      <c r="G37">
        <v>62091000000</v>
      </c>
      <c r="H37">
        <v>53345000000</v>
      </c>
      <c r="I37">
        <v>10.535489800000001</v>
      </c>
      <c r="J37">
        <v>26.1957016</v>
      </c>
      <c r="K37">
        <v>68.155000000000001</v>
      </c>
      <c r="L37">
        <v>53.6</v>
      </c>
      <c r="M37">
        <v>2.37</v>
      </c>
      <c r="N37">
        <v>79.17</v>
      </c>
      <c r="O37">
        <v>33.9</v>
      </c>
      <c r="P37">
        <v>0</v>
      </c>
      <c r="Q37">
        <v>18319</v>
      </c>
      <c r="R37">
        <v>1990</v>
      </c>
    </row>
    <row r="38" spans="1:18" x14ac:dyDescent="0.3">
      <c r="A38" t="s">
        <v>23</v>
      </c>
      <c r="B38">
        <v>1991</v>
      </c>
      <c r="C38">
        <v>384510000000</v>
      </c>
      <c r="D38">
        <v>334.13028809999997</v>
      </c>
      <c r="E38">
        <v>9.3617021279999992</v>
      </c>
      <c r="F38">
        <v>1271600000000</v>
      </c>
      <c r="G38">
        <v>71910000000</v>
      </c>
      <c r="H38">
        <v>63791000000</v>
      </c>
      <c r="I38">
        <v>10.535489800000001</v>
      </c>
      <c r="J38">
        <v>26.94024658</v>
      </c>
      <c r="K38">
        <v>68.61</v>
      </c>
      <c r="L38">
        <v>53</v>
      </c>
      <c r="M38">
        <v>2.37</v>
      </c>
      <c r="N38">
        <v>78.706000000000003</v>
      </c>
      <c r="O38">
        <v>33.1</v>
      </c>
      <c r="P38" s="1">
        <v>5.6333333333333298E-5</v>
      </c>
      <c r="Q38">
        <v>47544</v>
      </c>
      <c r="R38">
        <v>1990</v>
      </c>
    </row>
    <row r="39" spans="1:18" x14ac:dyDescent="0.3">
      <c r="A39" t="s">
        <v>23</v>
      </c>
      <c r="B39">
        <v>1992</v>
      </c>
      <c r="C39">
        <v>428502000000</v>
      </c>
      <c r="D39">
        <v>367.82265189999998</v>
      </c>
      <c r="E39">
        <v>14.29961089</v>
      </c>
      <c r="F39">
        <v>1486560000000</v>
      </c>
      <c r="G39">
        <v>84940000000</v>
      </c>
      <c r="H39">
        <v>80585000000</v>
      </c>
      <c r="I39">
        <v>10.535489800000001</v>
      </c>
      <c r="J39">
        <v>27.459869380000001</v>
      </c>
      <c r="K39">
        <v>69.058999999999997</v>
      </c>
      <c r="L39">
        <v>52.1</v>
      </c>
      <c r="M39">
        <v>2.37</v>
      </c>
      <c r="N39">
        <v>78.233999999999995</v>
      </c>
      <c r="O39">
        <v>32.799999999999997</v>
      </c>
      <c r="P39">
        <v>1.12666666666666E-4</v>
      </c>
      <c r="Q39">
        <v>176943</v>
      </c>
      <c r="R39">
        <v>1990</v>
      </c>
    </row>
    <row r="40" spans="1:18" x14ac:dyDescent="0.3">
      <c r="A40" t="s">
        <v>23</v>
      </c>
      <c r="B40">
        <v>1993</v>
      </c>
      <c r="C40">
        <v>446557000000</v>
      </c>
      <c r="D40">
        <v>378.93935310000001</v>
      </c>
      <c r="E40">
        <v>13.92907801</v>
      </c>
      <c r="F40">
        <v>1733770000000</v>
      </c>
      <c r="G40">
        <v>91744000000</v>
      </c>
      <c r="H40">
        <v>103959000000</v>
      </c>
      <c r="I40">
        <v>10.535489800000001</v>
      </c>
      <c r="J40">
        <v>27.990076070000001</v>
      </c>
      <c r="K40">
        <v>69.492000000000004</v>
      </c>
      <c r="L40">
        <v>50.8</v>
      </c>
      <c r="M40">
        <v>2.69</v>
      </c>
      <c r="N40">
        <v>77.754000000000005</v>
      </c>
      <c r="O40">
        <v>31.5</v>
      </c>
      <c r="P40">
        <v>1.6899999999999999E-4</v>
      </c>
      <c r="Q40">
        <v>638000</v>
      </c>
      <c r="R40">
        <v>1990</v>
      </c>
    </row>
    <row r="41" spans="1:18" x14ac:dyDescent="0.3">
      <c r="A41" t="s">
        <v>23</v>
      </c>
      <c r="B41">
        <v>1994</v>
      </c>
      <c r="C41">
        <v>566930000000</v>
      </c>
      <c r="D41">
        <v>475.67787440000001</v>
      </c>
      <c r="E41">
        <v>13.07270916</v>
      </c>
      <c r="F41">
        <v>2002280000000</v>
      </c>
      <c r="G41">
        <v>121006000000</v>
      </c>
      <c r="H41">
        <v>115615000000</v>
      </c>
      <c r="I41">
        <v>10.535489800000001</v>
      </c>
      <c r="J41">
        <v>28.509803770000001</v>
      </c>
      <c r="K41">
        <v>69.834999999999994</v>
      </c>
      <c r="L41">
        <v>49.2</v>
      </c>
      <c r="M41">
        <v>2.9</v>
      </c>
      <c r="N41">
        <v>77.266999999999996</v>
      </c>
      <c r="O41">
        <v>31.1</v>
      </c>
      <c r="P41">
        <v>1.17E-3</v>
      </c>
      <c r="Q41">
        <v>1568000</v>
      </c>
      <c r="R41">
        <v>1990</v>
      </c>
    </row>
    <row r="42" spans="1:18" x14ac:dyDescent="0.3">
      <c r="A42" t="s">
        <v>23</v>
      </c>
      <c r="B42">
        <v>1995</v>
      </c>
      <c r="C42">
        <v>738191000000</v>
      </c>
      <c r="D42">
        <v>612.68027789999996</v>
      </c>
      <c r="E42">
        <v>11.032812160000001</v>
      </c>
      <c r="F42">
        <v>2269800000000</v>
      </c>
      <c r="G42">
        <v>148780000000</v>
      </c>
      <c r="H42">
        <v>132084000000</v>
      </c>
      <c r="I42">
        <v>10.535489800000001</v>
      </c>
      <c r="J42">
        <v>29.04038048</v>
      </c>
      <c r="K42">
        <v>70.363</v>
      </c>
      <c r="L42">
        <v>47.4</v>
      </c>
      <c r="M42">
        <v>3</v>
      </c>
      <c r="N42">
        <v>76.772999999999996</v>
      </c>
      <c r="O42">
        <v>29.4</v>
      </c>
      <c r="P42">
        <v>4.9500000000000004E-3</v>
      </c>
      <c r="Q42">
        <v>3629000</v>
      </c>
      <c r="R42">
        <v>1990</v>
      </c>
    </row>
    <row r="43" spans="1:18" x14ac:dyDescent="0.3">
      <c r="A43" t="s">
        <v>23</v>
      </c>
      <c r="B43">
        <v>1996</v>
      </c>
      <c r="C43">
        <v>868524000000</v>
      </c>
      <c r="D43">
        <v>713.33738779999999</v>
      </c>
      <c r="E43">
        <v>9.9761999209999992</v>
      </c>
      <c r="F43">
        <v>2541940000000</v>
      </c>
      <c r="G43">
        <v>151048000000</v>
      </c>
      <c r="H43">
        <v>138833000000</v>
      </c>
      <c r="I43">
        <v>10.535489800000001</v>
      </c>
      <c r="J43">
        <v>30.479864119999998</v>
      </c>
      <c r="K43">
        <v>70.822999999999993</v>
      </c>
      <c r="L43">
        <v>45.5</v>
      </c>
      <c r="M43">
        <v>3.12</v>
      </c>
      <c r="N43">
        <v>76.271000000000001</v>
      </c>
      <c r="O43">
        <v>30.5</v>
      </c>
      <c r="P43">
        <v>1.3100000000000001E-2</v>
      </c>
      <c r="Q43">
        <v>6853000</v>
      </c>
      <c r="R43">
        <v>1990</v>
      </c>
    </row>
    <row r="44" spans="1:18" x14ac:dyDescent="0.3">
      <c r="A44" t="s">
        <v>23</v>
      </c>
      <c r="B44">
        <v>1997</v>
      </c>
      <c r="C44">
        <v>967754000000</v>
      </c>
      <c r="D44">
        <v>786.74354849999997</v>
      </c>
      <c r="E44">
        <v>9.2876465279999998</v>
      </c>
      <c r="F44">
        <v>2825930000000</v>
      </c>
      <c r="G44">
        <v>182792000000</v>
      </c>
      <c r="H44">
        <v>142370000000</v>
      </c>
      <c r="I44">
        <v>6.7247493409999999</v>
      </c>
      <c r="J44">
        <v>31.909954070000001</v>
      </c>
      <c r="K44">
        <v>71.227000000000004</v>
      </c>
      <c r="L44">
        <v>43.5</v>
      </c>
      <c r="M44">
        <v>3.23</v>
      </c>
      <c r="N44">
        <v>75.762</v>
      </c>
      <c r="O44">
        <v>30</v>
      </c>
      <c r="P44">
        <v>3.2399999999999998E-2</v>
      </c>
      <c r="Q44">
        <v>13233000</v>
      </c>
      <c r="R44">
        <v>1990</v>
      </c>
    </row>
    <row r="45" spans="1:18" x14ac:dyDescent="0.3">
      <c r="A45" t="s">
        <v>23</v>
      </c>
      <c r="B45">
        <v>1998</v>
      </c>
      <c r="C45">
        <v>1037130000000</v>
      </c>
      <c r="D45">
        <v>835.09534859999997</v>
      </c>
      <c r="E45">
        <v>7.9207920789999999</v>
      </c>
      <c r="F45">
        <v>3084040000000</v>
      </c>
      <c r="G45">
        <v>183712000000</v>
      </c>
      <c r="H45">
        <v>140237000000</v>
      </c>
      <c r="I45">
        <v>8.9594293589999996</v>
      </c>
      <c r="J45">
        <v>33.35016632</v>
      </c>
      <c r="K45">
        <v>71.600999999999999</v>
      </c>
      <c r="L45">
        <v>41.4</v>
      </c>
      <c r="M45">
        <v>3.24</v>
      </c>
      <c r="N45">
        <v>75.245999999999995</v>
      </c>
      <c r="O45">
        <v>29.5</v>
      </c>
      <c r="P45">
        <v>0.16900000000000001</v>
      </c>
      <c r="Q45">
        <v>23863000</v>
      </c>
      <c r="R45">
        <v>1990</v>
      </c>
    </row>
    <row r="46" spans="1:18" x14ac:dyDescent="0.3">
      <c r="A46" t="s">
        <v>23</v>
      </c>
      <c r="B46">
        <v>1999</v>
      </c>
      <c r="C46">
        <v>1103840000000</v>
      </c>
      <c r="D46">
        <v>881.14661409999997</v>
      </c>
      <c r="E46">
        <v>7.737003058</v>
      </c>
      <c r="F46">
        <v>3369670000000</v>
      </c>
      <c r="G46">
        <v>194931000000</v>
      </c>
      <c r="H46">
        <v>165699000000</v>
      </c>
      <c r="I46">
        <v>11.72045818</v>
      </c>
      <c r="J46">
        <v>34.779705049999997</v>
      </c>
      <c r="K46">
        <v>71.951999999999998</v>
      </c>
      <c r="L46">
        <v>39.1</v>
      </c>
      <c r="M46">
        <v>3.25</v>
      </c>
      <c r="N46">
        <v>74.721999999999994</v>
      </c>
      <c r="O46">
        <v>30.3</v>
      </c>
      <c r="P46">
        <v>0.70799999999999996</v>
      </c>
      <c r="Q46">
        <v>43296000</v>
      </c>
      <c r="R46">
        <v>1990</v>
      </c>
    </row>
    <row r="47" spans="1:18" x14ac:dyDescent="0.3">
      <c r="A47" t="s">
        <v>23</v>
      </c>
      <c r="B47">
        <v>2000</v>
      </c>
      <c r="C47">
        <v>1223750000000</v>
      </c>
      <c r="D47">
        <v>969.19951370000001</v>
      </c>
      <c r="E47">
        <v>8.586432018</v>
      </c>
      <c r="F47">
        <v>3741890000000</v>
      </c>
      <c r="G47">
        <v>249203000000</v>
      </c>
      <c r="H47">
        <v>225094000000</v>
      </c>
      <c r="I47">
        <v>11.18586575</v>
      </c>
      <c r="J47">
        <v>36.432023469999997</v>
      </c>
      <c r="K47">
        <v>72.287999999999997</v>
      </c>
      <c r="L47">
        <v>36.6</v>
      </c>
      <c r="M47">
        <v>3.26</v>
      </c>
      <c r="N47">
        <v>74.19</v>
      </c>
      <c r="O47">
        <v>29.6</v>
      </c>
      <c r="P47">
        <v>1.7759132070000001</v>
      </c>
      <c r="Q47">
        <v>85260000</v>
      </c>
      <c r="R47">
        <v>2000</v>
      </c>
    </row>
    <row r="48" spans="1:18" x14ac:dyDescent="0.3">
      <c r="A48" t="s">
        <v>23</v>
      </c>
      <c r="B48">
        <v>2001</v>
      </c>
      <c r="C48">
        <v>1355040000000</v>
      </c>
      <c r="D48">
        <v>1065.405976</v>
      </c>
      <c r="E48">
        <v>8.3126388710000008</v>
      </c>
      <c r="F48">
        <v>4144200000000</v>
      </c>
      <c r="G48">
        <v>266098000000</v>
      </c>
      <c r="H48">
        <v>243553000000</v>
      </c>
      <c r="I48">
        <v>6.8055473600000003</v>
      </c>
      <c r="J48">
        <v>37.659744259999997</v>
      </c>
      <c r="K48">
        <v>72.674999999999997</v>
      </c>
      <c r="L48">
        <v>34.1</v>
      </c>
      <c r="M48">
        <v>3.8</v>
      </c>
      <c r="N48">
        <v>73.878</v>
      </c>
      <c r="O48">
        <v>28.4</v>
      </c>
      <c r="P48">
        <v>2.6396502150000001</v>
      </c>
      <c r="Q48">
        <v>144820000</v>
      </c>
      <c r="R48">
        <v>2000</v>
      </c>
    </row>
    <row r="49" spans="1:18" x14ac:dyDescent="0.3">
      <c r="A49" t="s">
        <v>23</v>
      </c>
      <c r="B49">
        <v>2002</v>
      </c>
      <c r="C49">
        <v>1489820000000</v>
      </c>
      <c r="D49">
        <v>1163.559577</v>
      </c>
      <c r="E49">
        <v>9.243393266</v>
      </c>
      <c r="F49">
        <v>4597620000000</v>
      </c>
      <c r="G49">
        <v>325596000000</v>
      </c>
      <c r="H49">
        <v>295170000000</v>
      </c>
      <c r="I49">
        <v>8.8805204149999994</v>
      </c>
      <c r="J49">
        <v>39.089782710000001</v>
      </c>
      <c r="K49">
        <v>73.034000000000006</v>
      </c>
      <c r="L49">
        <v>31.4</v>
      </c>
      <c r="M49">
        <v>4.24</v>
      </c>
      <c r="N49">
        <v>73.563000000000002</v>
      </c>
      <c r="O49">
        <v>27</v>
      </c>
      <c r="P49">
        <v>4.5957043310000003</v>
      </c>
      <c r="Q49">
        <v>206005000</v>
      </c>
      <c r="R49">
        <v>2000</v>
      </c>
    </row>
    <row r="50" spans="1:18" x14ac:dyDescent="0.3">
      <c r="A50" t="s">
        <v>23</v>
      </c>
      <c r="B50">
        <v>2003</v>
      </c>
      <c r="C50">
        <v>1683900000000</v>
      </c>
      <c r="D50">
        <v>1306.972454</v>
      </c>
      <c r="E50">
        <v>10.118192860000001</v>
      </c>
      <c r="F50">
        <v>5162770000000</v>
      </c>
      <c r="G50">
        <v>438228000000</v>
      </c>
      <c r="H50">
        <v>412760000000</v>
      </c>
      <c r="I50">
        <v>6.1434672560000001</v>
      </c>
      <c r="J50">
        <v>40.530231479999998</v>
      </c>
      <c r="K50">
        <v>73.385000000000005</v>
      </c>
      <c r="L50">
        <v>28.8</v>
      </c>
      <c r="M50">
        <v>4.58</v>
      </c>
      <c r="N50">
        <v>73.245999999999995</v>
      </c>
      <c r="O50">
        <v>23.9</v>
      </c>
      <c r="P50">
        <v>6.2</v>
      </c>
      <c r="Q50">
        <v>269953000</v>
      </c>
      <c r="R50">
        <v>2000</v>
      </c>
    </row>
    <row r="51" spans="1:18" x14ac:dyDescent="0.3">
      <c r="A51" t="s">
        <v>23</v>
      </c>
      <c r="B51">
        <v>2004</v>
      </c>
      <c r="C51">
        <v>1984200000000</v>
      </c>
      <c r="D51">
        <v>1530.9272619999999</v>
      </c>
      <c r="E51">
        <v>10.131407360000001</v>
      </c>
      <c r="F51">
        <v>5838730000000</v>
      </c>
      <c r="G51">
        <v>593326000000</v>
      </c>
      <c r="H51">
        <v>561229000000</v>
      </c>
      <c r="I51">
        <v>7.4999567249999997</v>
      </c>
      <c r="J51">
        <v>41.760013579999999</v>
      </c>
      <c r="K51">
        <v>73.727000000000004</v>
      </c>
      <c r="L51">
        <v>26.3</v>
      </c>
      <c r="M51">
        <v>4.49</v>
      </c>
      <c r="N51">
        <v>72.927000000000007</v>
      </c>
      <c r="O51">
        <v>20.2</v>
      </c>
      <c r="P51">
        <v>7.3</v>
      </c>
      <c r="Q51">
        <v>334824000</v>
      </c>
      <c r="R51">
        <v>2000</v>
      </c>
    </row>
    <row r="52" spans="1:18" x14ac:dyDescent="0.3">
      <c r="A52" t="s">
        <v>23</v>
      </c>
      <c r="B52">
        <v>2005</v>
      </c>
      <c r="C52">
        <v>2317550000000</v>
      </c>
      <c r="D52">
        <v>1777.6449680000001</v>
      </c>
      <c r="E52">
        <v>11.45823846</v>
      </c>
      <c r="F52">
        <v>6711790000000</v>
      </c>
      <c r="G52">
        <v>761953000000</v>
      </c>
      <c r="H52">
        <v>659953000000</v>
      </c>
      <c r="I52">
        <v>11.51996301</v>
      </c>
      <c r="J52">
        <v>42.989997860000003</v>
      </c>
      <c r="K52">
        <v>74.084999999999994</v>
      </c>
      <c r="L52">
        <v>24</v>
      </c>
      <c r="M52">
        <v>4.5199999999999996</v>
      </c>
      <c r="N52">
        <v>72.605000000000004</v>
      </c>
      <c r="O52">
        <v>17.399999999999999</v>
      </c>
      <c r="P52">
        <v>8.5232570029999994</v>
      </c>
      <c r="Q52">
        <v>393406000</v>
      </c>
      <c r="R52">
        <v>2000</v>
      </c>
    </row>
    <row r="53" spans="1:18" x14ac:dyDescent="0.3">
      <c r="A53" t="s">
        <v>23</v>
      </c>
      <c r="B53">
        <v>2006</v>
      </c>
      <c r="C53">
        <v>2791500000000</v>
      </c>
      <c r="D53">
        <v>2129.2569699999999</v>
      </c>
      <c r="E53">
        <v>12.67467517</v>
      </c>
      <c r="F53">
        <v>7795700000000</v>
      </c>
      <c r="G53">
        <v>968978000000</v>
      </c>
      <c r="H53">
        <v>791461000000</v>
      </c>
      <c r="I53">
        <v>9.7392172929999994</v>
      </c>
      <c r="J53">
        <v>44.343009950000003</v>
      </c>
      <c r="K53">
        <v>74.403999999999996</v>
      </c>
      <c r="L53">
        <v>21.9</v>
      </c>
      <c r="M53">
        <v>4.43</v>
      </c>
      <c r="N53">
        <v>72.281000000000006</v>
      </c>
      <c r="O53">
        <v>16.399999999999999</v>
      </c>
      <c r="P53">
        <v>10.523152619999999</v>
      </c>
      <c r="Q53">
        <v>461058000</v>
      </c>
      <c r="R53">
        <v>2000</v>
      </c>
    </row>
    <row r="54" spans="1:18" x14ac:dyDescent="0.3">
      <c r="A54" t="s">
        <v>23</v>
      </c>
      <c r="B54">
        <v>2007</v>
      </c>
      <c r="C54">
        <v>3604060000000</v>
      </c>
      <c r="D54">
        <v>2734.7270990000002</v>
      </c>
      <c r="E54">
        <v>14.149985490000001</v>
      </c>
      <c r="F54">
        <v>9139880000000</v>
      </c>
      <c r="G54">
        <v>1220460000000</v>
      </c>
      <c r="H54">
        <v>956116000000</v>
      </c>
      <c r="I54">
        <v>12.275004750000001</v>
      </c>
      <c r="J54">
        <v>45.889244079999997</v>
      </c>
      <c r="K54">
        <v>74.789000000000001</v>
      </c>
      <c r="L54">
        <v>20.100000000000001</v>
      </c>
      <c r="M54">
        <v>4.3499999999999996</v>
      </c>
      <c r="N54">
        <v>71.953999999999994</v>
      </c>
      <c r="O54">
        <v>14.9</v>
      </c>
      <c r="P54">
        <v>16</v>
      </c>
      <c r="Q54">
        <v>547306000</v>
      </c>
      <c r="R54">
        <v>2000</v>
      </c>
    </row>
    <row r="55" spans="1:18" x14ac:dyDescent="0.3">
      <c r="A55" t="s">
        <v>23</v>
      </c>
      <c r="B55">
        <v>2008</v>
      </c>
      <c r="C55">
        <v>4667350000000</v>
      </c>
      <c r="D55">
        <v>3523.443021</v>
      </c>
      <c r="E55">
        <v>9.670245886</v>
      </c>
      <c r="F55">
        <v>10216900000000</v>
      </c>
      <c r="G55">
        <v>1430690000000</v>
      </c>
      <c r="H55">
        <v>1132570000000</v>
      </c>
      <c r="I55">
        <v>7.8796339270000004</v>
      </c>
      <c r="J55">
        <v>46.989505770000001</v>
      </c>
      <c r="K55">
        <v>74.832999999999998</v>
      </c>
      <c r="L55">
        <v>18.5</v>
      </c>
      <c r="M55">
        <v>4.59</v>
      </c>
      <c r="N55">
        <v>71.625</v>
      </c>
      <c r="O55">
        <v>14.1</v>
      </c>
      <c r="P55">
        <v>22.6</v>
      </c>
      <c r="Q55">
        <v>641245000</v>
      </c>
      <c r="R55">
        <v>2000</v>
      </c>
    </row>
    <row r="56" spans="1:18" x14ac:dyDescent="0.3">
      <c r="A56" t="s">
        <v>23</v>
      </c>
      <c r="B56">
        <v>2009</v>
      </c>
      <c r="C56">
        <v>5189580000000</v>
      </c>
      <c r="D56">
        <v>3898.244592</v>
      </c>
      <c r="E56">
        <v>9.402699728</v>
      </c>
      <c r="F56">
        <v>11246500000000</v>
      </c>
      <c r="G56">
        <v>1201610000000</v>
      </c>
      <c r="H56">
        <v>1005920000000</v>
      </c>
      <c r="I56">
        <v>10.04390665</v>
      </c>
      <c r="J56">
        <v>48.341705320000003</v>
      </c>
      <c r="K56">
        <v>75.316999999999993</v>
      </c>
      <c r="L56">
        <v>17.100000000000001</v>
      </c>
      <c r="M56">
        <v>4.72</v>
      </c>
      <c r="N56">
        <v>71.293999999999997</v>
      </c>
      <c r="O56">
        <v>13.4</v>
      </c>
      <c r="P56">
        <v>28.9</v>
      </c>
      <c r="Q56">
        <v>747214000</v>
      </c>
      <c r="R56">
        <v>2000</v>
      </c>
    </row>
    <row r="57" spans="1:18" x14ac:dyDescent="0.3">
      <c r="A57" t="s">
        <v>23</v>
      </c>
      <c r="B57">
        <v>2010</v>
      </c>
      <c r="C57">
        <v>6192560000000</v>
      </c>
      <c r="D57">
        <v>4629.2455170000003</v>
      </c>
      <c r="E57">
        <v>10.596271979999999</v>
      </c>
      <c r="F57">
        <v>12589300000000</v>
      </c>
      <c r="G57">
        <v>1577750000000</v>
      </c>
      <c r="H57">
        <v>1396250000000</v>
      </c>
      <c r="I57">
        <v>9.367715896</v>
      </c>
      <c r="J57">
        <v>49.234027060000003</v>
      </c>
      <c r="K57">
        <v>75.668000000000006</v>
      </c>
      <c r="L57">
        <v>15.7</v>
      </c>
      <c r="M57">
        <v>4.53</v>
      </c>
      <c r="N57">
        <v>70.959999999999994</v>
      </c>
      <c r="O57">
        <v>12.3</v>
      </c>
      <c r="P57">
        <v>34.299999999999997</v>
      </c>
      <c r="Q57">
        <v>859003000</v>
      </c>
      <c r="R57">
        <v>2010</v>
      </c>
    </row>
    <row r="58" spans="1:18" x14ac:dyDescent="0.3">
      <c r="A58" t="s">
        <v>23</v>
      </c>
      <c r="B58">
        <v>2011</v>
      </c>
      <c r="C58">
        <v>7671760000000</v>
      </c>
      <c r="D58">
        <v>5703.7602800000004</v>
      </c>
      <c r="E58">
        <v>9.4613358870000006</v>
      </c>
      <c r="F58">
        <v>14064800000000</v>
      </c>
      <c r="G58">
        <v>1898380000000</v>
      </c>
      <c r="H58">
        <v>1743480000000</v>
      </c>
      <c r="I58">
        <v>11.599488579999999</v>
      </c>
      <c r="J58">
        <v>51.83002853</v>
      </c>
      <c r="K58">
        <v>75.888999999999996</v>
      </c>
      <c r="L58">
        <v>14.6</v>
      </c>
      <c r="M58">
        <v>4.55</v>
      </c>
      <c r="N58">
        <v>70.86</v>
      </c>
      <c r="O58">
        <v>11.3</v>
      </c>
      <c r="P58">
        <v>38.299999999999997</v>
      </c>
      <c r="Q58">
        <v>986253000</v>
      </c>
      <c r="R58">
        <v>2010</v>
      </c>
    </row>
    <row r="59" spans="1:18" x14ac:dyDescent="0.3">
      <c r="A59" t="s">
        <v>23</v>
      </c>
      <c r="B59">
        <v>2012</v>
      </c>
      <c r="C59">
        <v>8673660000000</v>
      </c>
      <c r="D59">
        <v>6405.0574239999996</v>
      </c>
      <c r="E59">
        <v>7.8561742710000004</v>
      </c>
      <c r="F59">
        <v>15465200000000</v>
      </c>
      <c r="G59">
        <v>2048710000000</v>
      </c>
      <c r="H59">
        <v>1818410000000</v>
      </c>
      <c r="I59">
        <v>7.8892123820000002</v>
      </c>
      <c r="J59">
        <v>53.10031128</v>
      </c>
      <c r="K59">
        <v>76.2</v>
      </c>
      <c r="L59">
        <v>13.5</v>
      </c>
      <c r="M59">
        <v>4.58</v>
      </c>
      <c r="N59">
        <v>70.41</v>
      </c>
      <c r="O59">
        <v>11.5</v>
      </c>
      <c r="P59">
        <v>42.300098419999998</v>
      </c>
      <c r="Q59">
        <v>1112155000</v>
      </c>
      <c r="R59">
        <v>2010</v>
      </c>
    </row>
    <row r="60" spans="1:18" x14ac:dyDescent="0.3">
      <c r="A60" t="s">
        <v>23</v>
      </c>
      <c r="B60">
        <v>2013</v>
      </c>
      <c r="C60">
        <v>9743120000000</v>
      </c>
      <c r="D60">
        <v>7147.0351860000001</v>
      </c>
      <c r="E60">
        <v>7.7787240940000002</v>
      </c>
      <c r="F60">
        <v>16670200000000</v>
      </c>
      <c r="G60">
        <v>2209010000000</v>
      </c>
      <c r="H60">
        <v>1949990000000</v>
      </c>
      <c r="I60">
        <v>7.1158502969999997</v>
      </c>
      <c r="J60">
        <v>54.490001679999999</v>
      </c>
      <c r="K60">
        <v>76.451999999999998</v>
      </c>
      <c r="L60">
        <v>12.5</v>
      </c>
      <c r="M60">
        <v>4.5999999999999996</v>
      </c>
      <c r="N60">
        <v>69.97</v>
      </c>
      <c r="O60">
        <v>11.5</v>
      </c>
      <c r="P60">
        <v>45.799999239999998</v>
      </c>
      <c r="Q60">
        <v>1229113000</v>
      </c>
      <c r="R60">
        <v>2010</v>
      </c>
    </row>
    <row r="61" spans="1:18" x14ac:dyDescent="0.3">
      <c r="A61" t="s">
        <v>23</v>
      </c>
      <c r="B61">
        <v>2014</v>
      </c>
      <c r="C61">
        <v>10674500000000</v>
      </c>
      <c r="D61">
        <v>7781.0659750000004</v>
      </c>
      <c r="E61">
        <v>7.4619002820000002</v>
      </c>
      <c r="F61">
        <v>17754100000000</v>
      </c>
      <c r="G61">
        <v>2342290000000</v>
      </c>
      <c r="H61">
        <v>1959230000000</v>
      </c>
      <c r="I61">
        <v>7.7694711060000001</v>
      </c>
      <c r="J61">
        <v>55.750255580000001</v>
      </c>
      <c r="K61">
        <v>76.713999999999999</v>
      </c>
      <c r="L61">
        <v>11.6</v>
      </c>
      <c r="M61">
        <v>4.63</v>
      </c>
      <c r="N61">
        <v>69.650000000000006</v>
      </c>
      <c r="O61">
        <v>11.9</v>
      </c>
      <c r="P61">
        <v>47.900001529999997</v>
      </c>
      <c r="Q61">
        <v>1286093000</v>
      </c>
      <c r="R61">
        <v>2010</v>
      </c>
    </row>
    <row r="62" spans="1:18" x14ac:dyDescent="0.3">
      <c r="A62" t="s">
        <v>23</v>
      </c>
      <c r="B62">
        <v>2015</v>
      </c>
      <c r="C62">
        <v>11280800000000</v>
      </c>
      <c r="D62">
        <v>8175.3328510000001</v>
      </c>
      <c r="E62">
        <v>6.978780027</v>
      </c>
      <c r="F62">
        <v>18577500000000</v>
      </c>
      <c r="G62">
        <v>2273470000000</v>
      </c>
      <c r="H62">
        <v>1679570000000</v>
      </c>
      <c r="I62">
        <v>8.8247265549999998</v>
      </c>
      <c r="J62">
        <v>57.32978439</v>
      </c>
      <c r="K62">
        <v>76.974999999999994</v>
      </c>
      <c r="L62">
        <v>10.7</v>
      </c>
      <c r="M62">
        <v>4.6500000000000004</v>
      </c>
      <c r="N62">
        <v>69.3</v>
      </c>
      <c r="O62">
        <v>12.2</v>
      </c>
      <c r="P62">
        <v>50.299999239999998</v>
      </c>
      <c r="Q62">
        <v>1291984200</v>
      </c>
      <c r="R62">
        <v>2010</v>
      </c>
    </row>
    <row r="63" spans="1:18" x14ac:dyDescent="0.3">
      <c r="A63" t="s">
        <v>23</v>
      </c>
      <c r="B63">
        <v>2016</v>
      </c>
      <c r="C63">
        <v>11456000000000</v>
      </c>
      <c r="D63">
        <v>8254.8685929999992</v>
      </c>
      <c r="E63">
        <v>6.7755556280000002</v>
      </c>
      <c r="F63">
        <v>19647300000000</v>
      </c>
      <c r="G63">
        <v>2097630000000</v>
      </c>
      <c r="H63">
        <v>1587930000000</v>
      </c>
      <c r="I63">
        <v>8.191498975</v>
      </c>
      <c r="J63">
        <v>58.839923859999999</v>
      </c>
      <c r="K63">
        <v>77.213999999999999</v>
      </c>
      <c r="L63">
        <v>10</v>
      </c>
      <c r="M63">
        <v>4.5599999999999996</v>
      </c>
      <c r="N63">
        <v>68.88</v>
      </c>
      <c r="O63">
        <v>12.6</v>
      </c>
      <c r="P63">
        <v>53.2</v>
      </c>
      <c r="Q63">
        <v>1364934000</v>
      </c>
      <c r="R63">
        <v>2010</v>
      </c>
    </row>
    <row r="64" spans="1:18" x14ac:dyDescent="0.3">
      <c r="A64" t="s">
        <v>23</v>
      </c>
      <c r="B64">
        <v>2017</v>
      </c>
      <c r="C64">
        <v>12537600000000</v>
      </c>
      <c r="D64">
        <v>8979.6765269999996</v>
      </c>
      <c r="E64">
        <v>6.8912663619999996</v>
      </c>
      <c r="F64">
        <v>20974600000000</v>
      </c>
      <c r="G64">
        <v>2263350000000</v>
      </c>
      <c r="H64">
        <v>1843790000000</v>
      </c>
      <c r="I64">
        <v>6.8682279900000003</v>
      </c>
      <c r="J64">
        <v>60.240268710000002</v>
      </c>
      <c r="K64">
        <v>77.234999999999999</v>
      </c>
      <c r="L64">
        <v>9.3000000000000007</v>
      </c>
      <c r="M64">
        <v>4.47</v>
      </c>
      <c r="N64">
        <v>68.349999999999994</v>
      </c>
      <c r="O64">
        <v>13.1</v>
      </c>
      <c r="P64">
        <v>54.3</v>
      </c>
      <c r="Q64">
        <v>1469882500</v>
      </c>
      <c r="R64">
        <v>2010</v>
      </c>
    </row>
    <row r="65" spans="1:18" x14ac:dyDescent="0.3">
      <c r="A65" t="s">
        <v>23</v>
      </c>
      <c r="B65">
        <v>2018</v>
      </c>
      <c r="C65">
        <v>14147800000000</v>
      </c>
      <c r="D65">
        <v>10085.66381</v>
      </c>
      <c r="E65">
        <v>6.7567180020000004</v>
      </c>
      <c r="F65">
        <v>22862500000000</v>
      </c>
      <c r="G65">
        <v>2486700000000</v>
      </c>
      <c r="H65">
        <v>2135750000000</v>
      </c>
      <c r="I65">
        <v>7.9080269129999996</v>
      </c>
      <c r="J65">
        <v>61.500198359999999</v>
      </c>
      <c r="K65">
        <v>77.709000000000003</v>
      </c>
      <c r="L65">
        <v>8.6</v>
      </c>
      <c r="M65">
        <v>4.3099999999999996</v>
      </c>
      <c r="N65">
        <v>67.81</v>
      </c>
      <c r="O65">
        <v>13.5</v>
      </c>
      <c r="P65">
        <v>65.358398440000002</v>
      </c>
      <c r="Q65">
        <v>1649301700</v>
      </c>
      <c r="R65">
        <v>2010</v>
      </c>
    </row>
    <row r="66" spans="1:18" x14ac:dyDescent="0.3">
      <c r="A66" t="s">
        <v>23</v>
      </c>
      <c r="B66">
        <v>2019</v>
      </c>
      <c r="C66">
        <v>14560200000000</v>
      </c>
      <c r="D66">
        <v>10342.900949999999</v>
      </c>
      <c r="E66">
        <v>6.0685023510000002</v>
      </c>
      <c r="F66">
        <v>24777600000000</v>
      </c>
      <c r="G66">
        <v>2499460000000</v>
      </c>
      <c r="H66">
        <v>2078390000000</v>
      </c>
      <c r="I66">
        <v>6.2401060939999997</v>
      </c>
      <c r="J66">
        <v>62.709915160000001</v>
      </c>
      <c r="K66">
        <v>77.94</v>
      </c>
      <c r="L66">
        <v>8</v>
      </c>
      <c r="M66">
        <v>4.5599999999999996</v>
      </c>
      <c r="N66">
        <v>67.38</v>
      </c>
      <c r="O66">
        <v>14.3</v>
      </c>
      <c r="P66">
        <v>64.080881300000001</v>
      </c>
      <c r="Q66">
        <v>1746238000</v>
      </c>
      <c r="R66">
        <v>2010</v>
      </c>
    </row>
    <row r="67" spans="1:18" x14ac:dyDescent="0.3">
      <c r="A67" t="s">
        <v>23</v>
      </c>
      <c r="B67">
        <v>2020</v>
      </c>
      <c r="C67">
        <v>14996400000000</v>
      </c>
      <c r="D67">
        <v>10627.4638</v>
      </c>
      <c r="E67">
        <v>2.3401884310000001</v>
      </c>
      <c r="F67">
        <v>25777200000000</v>
      </c>
      <c r="G67">
        <v>2589950000000</v>
      </c>
      <c r="H67">
        <v>2065960000000</v>
      </c>
      <c r="I67">
        <v>-0.175990641</v>
      </c>
      <c r="J67">
        <v>63.523423029999996</v>
      </c>
      <c r="K67">
        <v>78.019000000000005</v>
      </c>
      <c r="L67">
        <v>7.5</v>
      </c>
      <c r="M67">
        <v>5</v>
      </c>
      <c r="N67">
        <v>65.721000000000004</v>
      </c>
      <c r="O67">
        <v>14.9</v>
      </c>
      <c r="P67">
        <v>70.052759980000005</v>
      </c>
      <c r="Q67">
        <v>1718411000</v>
      </c>
      <c r="R67">
        <v>2020</v>
      </c>
    </row>
    <row r="68" spans="1:18" x14ac:dyDescent="0.3">
      <c r="A68" t="s">
        <v>23</v>
      </c>
      <c r="B68">
        <v>2021</v>
      </c>
      <c r="C68">
        <v>18201700000000</v>
      </c>
      <c r="D68">
        <v>12887.435719999999</v>
      </c>
      <c r="E68">
        <v>8.5700851320000009</v>
      </c>
      <c r="F68">
        <v>29438200000000</v>
      </c>
      <c r="G68">
        <v>3316020000000</v>
      </c>
      <c r="H68">
        <v>2679410000000</v>
      </c>
      <c r="I68">
        <v>9.2350893210000002</v>
      </c>
      <c r="J68">
        <v>64.721076969999999</v>
      </c>
      <c r="K68">
        <v>78.117000000000004</v>
      </c>
      <c r="L68">
        <v>7</v>
      </c>
      <c r="M68">
        <v>4.55</v>
      </c>
      <c r="N68">
        <v>67.11</v>
      </c>
      <c r="O68">
        <v>15.2</v>
      </c>
      <c r="P68">
        <v>73.053235169999994</v>
      </c>
      <c r="Q68">
        <v>1733006000</v>
      </c>
      <c r="R68">
        <v>2020</v>
      </c>
    </row>
    <row r="69" spans="1:18" x14ac:dyDescent="0.3">
      <c r="A69" t="s">
        <v>23</v>
      </c>
      <c r="B69">
        <v>2022</v>
      </c>
      <c r="C69">
        <v>18316800000000</v>
      </c>
      <c r="D69">
        <v>12970.60564</v>
      </c>
      <c r="E69">
        <v>3.1341888720000002</v>
      </c>
      <c r="F69">
        <v>32525500000000</v>
      </c>
      <c r="G69">
        <v>3544430000000</v>
      </c>
      <c r="H69">
        <v>2706510000000</v>
      </c>
      <c r="I69">
        <v>2.753604648</v>
      </c>
      <c r="J69">
        <v>65.217636110000001</v>
      </c>
      <c r="K69">
        <v>78.201999999999998</v>
      </c>
      <c r="L69">
        <v>6.6</v>
      </c>
      <c r="M69">
        <v>4.9800000000000004</v>
      </c>
      <c r="N69">
        <v>65.8</v>
      </c>
      <c r="O69">
        <v>15.2</v>
      </c>
      <c r="P69">
        <v>75.611316029999998</v>
      </c>
      <c r="Q69">
        <v>1770005314</v>
      </c>
      <c r="R69">
        <v>2020</v>
      </c>
    </row>
    <row r="70" spans="1:18" x14ac:dyDescent="0.3">
      <c r="A70" t="s">
        <v>23</v>
      </c>
      <c r="B70">
        <v>2023</v>
      </c>
      <c r="C70">
        <v>18270400000000</v>
      </c>
      <c r="D70">
        <v>12951.178239999999</v>
      </c>
      <c r="E70">
        <v>5.4148433010000003</v>
      </c>
      <c r="F70">
        <v>35520400000000</v>
      </c>
      <c r="G70">
        <v>3379040000000</v>
      </c>
      <c r="H70">
        <v>2556940000000</v>
      </c>
      <c r="I70">
        <v>8.2907677910000004</v>
      </c>
      <c r="J70">
        <v>65.530144800000002</v>
      </c>
      <c r="K70">
        <v>77.953000000000003</v>
      </c>
      <c r="L70">
        <v>6.1</v>
      </c>
      <c r="M70">
        <v>4.67</v>
      </c>
      <c r="N70">
        <v>65.83</v>
      </c>
      <c r="O70">
        <v>15.2</v>
      </c>
      <c r="P70">
        <v>90.6</v>
      </c>
      <c r="Q70">
        <v>1824422700</v>
      </c>
      <c r="R70">
        <v>2020</v>
      </c>
    </row>
    <row r="71" spans="1:18" x14ac:dyDescent="0.3">
      <c r="A71" t="s">
        <v>23</v>
      </c>
      <c r="B71">
        <v>2024</v>
      </c>
      <c r="C71">
        <v>18743800000000</v>
      </c>
      <c r="D71">
        <v>13303.148150000001</v>
      </c>
      <c r="E71">
        <v>4.9773565919999996</v>
      </c>
      <c r="F71">
        <v>38190100000000</v>
      </c>
      <c r="G71">
        <v>3576650000000</v>
      </c>
      <c r="H71">
        <v>2584910000000</v>
      </c>
      <c r="I71">
        <v>3.856596433</v>
      </c>
      <c r="J71">
        <v>65.894698099999999</v>
      </c>
      <c r="K71">
        <v>78.016999999999996</v>
      </c>
      <c r="L71">
        <v>5.7</v>
      </c>
      <c r="M71">
        <v>4.59</v>
      </c>
      <c r="N71">
        <v>64.91</v>
      </c>
      <c r="O71">
        <v>15.2</v>
      </c>
      <c r="P71">
        <v>92</v>
      </c>
      <c r="Q71">
        <v>1870011592</v>
      </c>
      <c r="R71">
        <v>2020</v>
      </c>
    </row>
    <row r="72" spans="1:18" x14ac:dyDescent="0.3">
      <c r="A72" t="s">
        <v>24</v>
      </c>
      <c r="B72">
        <v>1990</v>
      </c>
      <c r="C72">
        <v>320979000000</v>
      </c>
      <c r="D72">
        <v>371.08593619999999</v>
      </c>
      <c r="E72">
        <v>5.5334545610000001</v>
      </c>
      <c r="F72">
        <v>1048330000000</v>
      </c>
      <c r="G72">
        <v>17969000000</v>
      </c>
      <c r="H72">
        <v>23580000000</v>
      </c>
      <c r="I72">
        <v>4.3108814369999999</v>
      </c>
      <c r="J72">
        <v>25.57840173</v>
      </c>
      <c r="K72">
        <v>58.618000000000002</v>
      </c>
      <c r="L72">
        <v>127</v>
      </c>
      <c r="M72">
        <v>7.641</v>
      </c>
      <c r="N72">
        <v>57.936999999999998</v>
      </c>
      <c r="O72">
        <v>53</v>
      </c>
      <c r="P72">
        <v>0</v>
      </c>
      <c r="Q72">
        <v>0</v>
      </c>
      <c r="R72">
        <v>1990</v>
      </c>
    </row>
    <row r="73" spans="1:18" x14ac:dyDescent="0.3">
      <c r="A73" t="s">
        <v>24</v>
      </c>
      <c r="B73">
        <v>1991</v>
      </c>
      <c r="C73">
        <v>270105000000</v>
      </c>
      <c r="D73">
        <v>305.57405590000002</v>
      </c>
      <c r="E73">
        <v>1.0568314350000001</v>
      </c>
      <c r="F73">
        <v>1095240000000</v>
      </c>
      <c r="G73">
        <v>17727000000</v>
      </c>
      <c r="H73">
        <v>20448000000</v>
      </c>
      <c r="I73">
        <v>1.8221871540000001</v>
      </c>
      <c r="J73">
        <v>25.779761090000001</v>
      </c>
      <c r="K73">
        <v>59.031999999999996</v>
      </c>
      <c r="L73">
        <v>123.4</v>
      </c>
      <c r="M73">
        <v>7.641</v>
      </c>
      <c r="N73">
        <v>57.966000000000001</v>
      </c>
      <c r="O73">
        <v>52</v>
      </c>
      <c r="P73" s="1">
        <v>5.5500000000000001E-5</v>
      </c>
      <c r="Q73">
        <v>0</v>
      </c>
      <c r="R73">
        <v>1990</v>
      </c>
    </row>
    <row r="74" spans="1:18" x14ac:dyDescent="0.3">
      <c r="A74" t="s">
        <v>24</v>
      </c>
      <c r="B74">
        <v>1992</v>
      </c>
      <c r="C74">
        <v>288208000000</v>
      </c>
      <c r="D74">
        <v>319.18247259999998</v>
      </c>
      <c r="E74">
        <v>5.4823960200000004</v>
      </c>
      <c r="F74">
        <v>1181610000000</v>
      </c>
      <c r="G74">
        <v>19628000000</v>
      </c>
      <c r="H74">
        <v>23579000000</v>
      </c>
      <c r="I74">
        <v>2.7021183940000002</v>
      </c>
      <c r="J74">
        <v>25.980857669999999</v>
      </c>
      <c r="K74">
        <v>59.445</v>
      </c>
      <c r="L74">
        <v>119.9</v>
      </c>
      <c r="M74">
        <v>7.649</v>
      </c>
      <c r="N74">
        <v>57.997</v>
      </c>
      <c r="O74">
        <v>51.5</v>
      </c>
      <c r="P74">
        <v>1.11E-4</v>
      </c>
      <c r="Q74">
        <v>0</v>
      </c>
      <c r="R74">
        <v>1990</v>
      </c>
    </row>
    <row r="75" spans="1:18" x14ac:dyDescent="0.3">
      <c r="A75" t="s">
        <v>24</v>
      </c>
      <c r="B75">
        <v>1993</v>
      </c>
      <c r="C75">
        <v>279296000000</v>
      </c>
      <c r="D75">
        <v>302.88480620000001</v>
      </c>
      <c r="E75">
        <v>4.7507762180000004</v>
      </c>
      <c r="F75">
        <v>1267080000000</v>
      </c>
      <c r="G75">
        <v>21572000000</v>
      </c>
      <c r="H75">
        <v>22788000000</v>
      </c>
      <c r="I75">
        <v>4.5730807330000003</v>
      </c>
      <c r="J75">
        <v>26.176781470000002</v>
      </c>
      <c r="K75">
        <v>59.823</v>
      </c>
      <c r="L75">
        <v>116.5</v>
      </c>
      <c r="M75">
        <v>7.6619999999999999</v>
      </c>
      <c r="N75">
        <v>58.027000000000001</v>
      </c>
      <c r="O75">
        <v>51.5</v>
      </c>
      <c r="P75">
        <v>2.1800000000000001E-4</v>
      </c>
      <c r="Q75">
        <v>0</v>
      </c>
      <c r="R75">
        <v>1990</v>
      </c>
    </row>
    <row r="76" spans="1:18" x14ac:dyDescent="0.3">
      <c r="A76" t="s">
        <v>24</v>
      </c>
      <c r="B76">
        <v>1994</v>
      </c>
      <c r="C76">
        <v>327275000000</v>
      </c>
      <c r="D76">
        <v>347.7342147</v>
      </c>
      <c r="E76">
        <v>6.6589240700000003</v>
      </c>
      <c r="F76">
        <v>1380310000000</v>
      </c>
      <c r="G76">
        <v>25022000000</v>
      </c>
      <c r="H76">
        <v>26843000000</v>
      </c>
      <c r="I76">
        <v>4.3588241099999996</v>
      </c>
      <c r="J76">
        <v>26.37101886</v>
      </c>
      <c r="K76">
        <v>60.237000000000002</v>
      </c>
      <c r="L76">
        <v>113.1</v>
      </c>
      <c r="M76">
        <v>7.593</v>
      </c>
      <c r="N76">
        <v>58.063000000000002</v>
      </c>
      <c r="O76">
        <v>50.5</v>
      </c>
      <c r="P76">
        <v>1.07E-3</v>
      </c>
      <c r="Q76">
        <v>0</v>
      </c>
      <c r="R76">
        <v>1990</v>
      </c>
    </row>
    <row r="77" spans="1:18" x14ac:dyDescent="0.3">
      <c r="A77" t="s">
        <v>24</v>
      </c>
      <c r="B77">
        <v>1995</v>
      </c>
      <c r="C77">
        <v>360282000000</v>
      </c>
      <c r="D77">
        <v>375.17600540000001</v>
      </c>
      <c r="E77">
        <v>7.5744918380000001</v>
      </c>
      <c r="F77">
        <v>1516000000000</v>
      </c>
      <c r="G77">
        <v>30630000000</v>
      </c>
      <c r="H77">
        <v>34707000000</v>
      </c>
      <c r="I77">
        <v>6.328311985</v>
      </c>
      <c r="J77">
        <v>26.566177209999999</v>
      </c>
      <c r="K77">
        <v>60.63</v>
      </c>
      <c r="L77">
        <v>109.7</v>
      </c>
      <c r="M77">
        <v>7.57</v>
      </c>
      <c r="N77">
        <v>58.395000000000003</v>
      </c>
      <c r="O77">
        <v>49.5</v>
      </c>
      <c r="P77">
        <v>2.6200000000000001E-2</v>
      </c>
      <c r="Q77">
        <v>76680</v>
      </c>
      <c r="R77">
        <v>1990</v>
      </c>
    </row>
    <row r="78" spans="1:18" x14ac:dyDescent="0.3">
      <c r="A78" t="s">
        <v>24</v>
      </c>
      <c r="B78">
        <v>1996</v>
      </c>
      <c r="C78">
        <v>392897000000</v>
      </c>
      <c r="D78">
        <v>401.04675470000001</v>
      </c>
      <c r="E78">
        <v>7.5495222489999998</v>
      </c>
      <c r="F78">
        <v>1660300000000</v>
      </c>
      <c r="G78">
        <v>33105000000</v>
      </c>
      <c r="H78">
        <v>37942000000</v>
      </c>
      <c r="I78">
        <v>7.328628932</v>
      </c>
      <c r="J78">
        <v>26.764863869999999</v>
      </c>
      <c r="K78">
        <v>61.027000000000001</v>
      </c>
      <c r="L78">
        <v>106.2</v>
      </c>
      <c r="M78">
        <v>7.5369999999999999</v>
      </c>
      <c r="N78">
        <v>58.728999999999999</v>
      </c>
      <c r="O78">
        <v>49.1</v>
      </c>
      <c r="P78">
        <v>4.6300000000000001E-2</v>
      </c>
      <c r="Q78">
        <v>327967</v>
      </c>
      <c r="R78">
        <v>1990</v>
      </c>
    </row>
    <row r="79" spans="1:18" x14ac:dyDescent="0.3">
      <c r="A79" t="s">
        <v>24</v>
      </c>
      <c r="B79">
        <v>1997</v>
      </c>
      <c r="C79">
        <v>415868000000</v>
      </c>
      <c r="D79">
        <v>416.22811619999999</v>
      </c>
      <c r="E79">
        <v>4.0498208499999997</v>
      </c>
      <c r="F79">
        <v>1757330000000</v>
      </c>
      <c r="G79">
        <v>35008000000</v>
      </c>
      <c r="H79">
        <v>41432000000</v>
      </c>
      <c r="I79">
        <v>4.1338281090000004</v>
      </c>
      <c r="J79">
        <v>26.969686200000002</v>
      </c>
      <c r="K79">
        <v>61.439</v>
      </c>
      <c r="L79">
        <v>102.7</v>
      </c>
      <c r="M79">
        <v>7.5739999999999998</v>
      </c>
      <c r="N79">
        <v>59.066000000000003</v>
      </c>
      <c r="O79">
        <v>47.9</v>
      </c>
      <c r="P79">
        <v>7.0800000000000002E-2</v>
      </c>
      <c r="Q79">
        <v>881839</v>
      </c>
      <c r="R79">
        <v>1990</v>
      </c>
    </row>
    <row r="80" spans="1:18" x14ac:dyDescent="0.3">
      <c r="A80" t="s">
        <v>24</v>
      </c>
      <c r="B80">
        <v>1998</v>
      </c>
      <c r="C80">
        <v>421351000000</v>
      </c>
      <c r="D80">
        <v>413.6308641</v>
      </c>
      <c r="E80">
        <v>6.1844158220000001</v>
      </c>
      <c r="F80">
        <v>1886980000000</v>
      </c>
      <c r="G80">
        <v>33437000000</v>
      </c>
      <c r="H80">
        <v>42980000000</v>
      </c>
      <c r="I80">
        <v>7.3431767739999998</v>
      </c>
      <c r="J80">
        <v>27.183251550000001</v>
      </c>
      <c r="K80">
        <v>61.851999999999997</v>
      </c>
      <c r="L80">
        <v>99.1</v>
      </c>
      <c r="M80">
        <v>7.5960000000000001</v>
      </c>
      <c r="N80">
        <v>59.404000000000003</v>
      </c>
      <c r="O80">
        <v>48</v>
      </c>
      <c r="P80">
        <v>0.13900000000000001</v>
      </c>
      <c r="Q80">
        <v>1195400</v>
      </c>
      <c r="R80">
        <v>1990</v>
      </c>
    </row>
    <row r="81" spans="1:18" x14ac:dyDescent="0.3">
      <c r="A81" t="s">
        <v>24</v>
      </c>
      <c r="B81">
        <v>1999</v>
      </c>
      <c r="C81">
        <v>458821000000</v>
      </c>
      <c r="D81">
        <v>441.9279914</v>
      </c>
      <c r="E81">
        <v>8.8457555590000005</v>
      </c>
      <c r="F81">
        <v>2082960000000</v>
      </c>
      <c r="G81">
        <v>35667000000</v>
      </c>
      <c r="H81">
        <v>46979000000</v>
      </c>
      <c r="I81">
        <v>6.9602393380000001</v>
      </c>
      <c r="J81">
        <v>27.408167280000001</v>
      </c>
      <c r="K81">
        <v>62.283999999999999</v>
      </c>
      <c r="L81">
        <v>95.4</v>
      </c>
      <c r="M81">
        <v>7.5830000000000002</v>
      </c>
      <c r="N81">
        <v>59.743000000000002</v>
      </c>
      <c r="O81">
        <v>47.1</v>
      </c>
      <c r="P81">
        <v>0.27300000000000002</v>
      </c>
      <c r="Q81">
        <v>1884311</v>
      </c>
      <c r="R81">
        <v>1990</v>
      </c>
    </row>
    <row r="82" spans="1:18" x14ac:dyDescent="0.3">
      <c r="A82" t="s">
        <v>24</v>
      </c>
      <c r="B82">
        <v>2000</v>
      </c>
      <c r="C82">
        <v>468396000000</v>
      </c>
      <c r="D82">
        <v>442.75021889999999</v>
      </c>
      <c r="E82">
        <v>3.8409911569999999</v>
      </c>
      <c r="F82">
        <v>2211970000000</v>
      </c>
      <c r="G82">
        <v>42379000000</v>
      </c>
      <c r="H82">
        <v>51523000000</v>
      </c>
      <c r="I82">
        <v>3.106123872</v>
      </c>
      <c r="J82">
        <v>27.647040749999999</v>
      </c>
      <c r="K82">
        <v>62.749000000000002</v>
      </c>
      <c r="L82">
        <v>91.8</v>
      </c>
      <c r="M82">
        <v>7.5890000000000004</v>
      </c>
      <c r="N82">
        <v>60.079000000000001</v>
      </c>
      <c r="O82">
        <v>46.9</v>
      </c>
      <c r="P82">
        <v>0.52753245000000004</v>
      </c>
      <c r="Q82">
        <v>3577095</v>
      </c>
      <c r="R82">
        <v>2000</v>
      </c>
    </row>
    <row r="83" spans="1:18" x14ac:dyDescent="0.3">
      <c r="A83" t="s">
        <v>24</v>
      </c>
      <c r="B83">
        <v>2001</v>
      </c>
      <c r="C83">
        <v>485440000000</v>
      </c>
      <c r="D83">
        <v>450.35790050000003</v>
      </c>
      <c r="E83">
        <v>4.8239662660000002</v>
      </c>
      <c r="F83">
        <v>2370880000000</v>
      </c>
      <c r="G83">
        <v>43361000000</v>
      </c>
      <c r="H83">
        <v>50392000000</v>
      </c>
      <c r="I83">
        <v>5.3810200699999999</v>
      </c>
      <c r="J83">
        <v>27.902865210000002</v>
      </c>
      <c r="K83">
        <v>63.158000000000001</v>
      </c>
      <c r="L83">
        <v>88.1</v>
      </c>
      <c r="M83">
        <v>7.6109999999999998</v>
      </c>
      <c r="N83">
        <v>59.923000000000002</v>
      </c>
      <c r="O83">
        <v>47.1</v>
      </c>
      <c r="P83">
        <v>0.66014637700000001</v>
      </c>
      <c r="Q83">
        <v>6540000</v>
      </c>
      <c r="R83">
        <v>2000</v>
      </c>
    </row>
    <row r="84" spans="1:18" x14ac:dyDescent="0.3">
      <c r="A84" t="s">
        <v>24</v>
      </c>
      <c r="B84">
        <v>2002</v>
      </c>
      <c r="C84">
        <v>514939000000</v>
      </c>
      <c r="D84">
        <v>469.14992899999999</v>
      </c>
      <c r="E84">
        <v>3.8039753209999998</v>
      </c>
      <c r="F84">
        <v>2499310000000</v>
      </c>
      <c r="G84">
        <v>49250000000</v>
      </c>
      <c r="H84">
        <v>56517000000</v>
      </c>
      <c r="I84">
        <v>2.3989553269999999</v>
      </c>
      <c r="J84">
        <v>28.175687889999999</v>
      </c>
      <c r="K84">
        <v>63.649000000000001</v>
      </c>
      <c r="L84">
        <v>84.6</v>
      </c>
      <c r="M84">
        <v>7.681</v>
      </c>
      <c r="N84">
        <v>59.765000000000001</v>
      </c>
      <c r="O84">
        <v>45.8</v>
      </c>
      <c r="P84">
        <v>1.5378755820000001</v>
      </c>
      <c r="Q84">
        <v>13000000</v>
      </c>
      <c r="R84">
        <v>2000</v>
      </c>
    </row>
    <row r="85" spans="1:18" x14ac:dyDescent="0.3">
      <c r="A85" t="s">
        <v>24</v>
      </c>
      <c r="B85">
        <v>2003</v>
      </c>
      <c r="C85">
        <v>607701000000</v>
      </c>
      <c r="D85">
        <v>544.14313349999998</v>
      </c>
      <c r="E85">
        <v>7.8603814759999997</v>
      </c>
      <c r="F85">
        <v>2748990000000</v>
      </c>
      <c r="G85">
        <v>58963000000</v>
      </c>
      <c r="H85">
        <v>72558000000</v>
      </c>
      <c r="I85">
        <v>5.4515978479999996</v>
      </c>
      <c r="J85">
        <v>28.466028770000001</v>
      </c>
      <c r="K85">
        <v>64.085999999999999</v>
      </c>
      <c r="L85">
        <v>81.099999999999994</v>
      </c>
      <c r="M85">
        <v>7.633</v>
      </c>
      <c r="N85">
        <v>59.606000000000002</v>
      </c>
      <c r="O85">
        <v>45.6</v>
      </c>
      <c r="P85">
        <v>1.6864899710000001</v>
      </c>
      <c r="Q85">
        <v>33690000</v>
      </c>
      <c r="R85">
        <v>2000</v>
      </c>
    </row>
    <row r="86" spans="1:18" x14ac:dyDescent="0.3">
      <c r="A86" t="s">
        <v>24</v>
      </c>
      <c r="B86">
        <v>2004</v>
      </c>
      <c r="C86">
        <v>709153000000</v>
      </c>
      <c r="D86">
        <v>624.25882650000005</v>
      </c>
      <c r="E86">
        <v>7.922936612</v>
      </c>
      <c r="F86">
        <v>3046570000000</v>
      </c>
      <c r="G86">
        <v>76649000000</v>
      </c>
      <c r="H86">
        <v>99775000000</v>
      </c>
      <c r="I86">
        <v>4.9958929999999997</v>
      </c>
      <c r="J86">
        <v>28.772606719999999</v>
      </c>
      <c r="K86">
        <v>64.483999999999995</v>
      </c>
      <c r="L86">
        <v>77.7</v>
      </c>
      <c r="M86">
        <v>7.5979999999999999</v>
      </c>
      <c r="N86">
        <v>59.445</v>
      </c>
      <c r="O86">
        <v>44.9</v>
      </c>
      <c r="P86">
        <v>1.976136492</v>
      </c>
      <c r="Q86">
        <v>52220000</v>
      </c>
      <c r="R86">
        <v>2000</v>
      </c>
    </row>
    <row r="87" spans="1:18" x14ac:dyDescent="0.3">
      <c r="A87" t="s">
        <v>24</v>
      </c>
      <c r="B87">
        <v>2005</v>
      </c>
      <c r="C87">
        <v>820384000000</v>
      </c>
      <c r="D87">
        <v>710.48808039999994</v>
      </c>
      <c r="E87">
        <v>7.9234306209999996</v>
      </c>
      <c r="F87">
        <v>3391060000000</v>
      </c>
      <c r="G87">
        <v>99616000000</v>
      </c>
      <c r="H87">
        <v>142870000000</v>
      </c>
      <c r="I87">
        <v>7.6540710020000002</v>
      </c>
      <c r="J87">
        <v>29.09454972</v>
      </c>
      <c r="K87">
        <v>64.938999999999993</v>
      </c>
      <c r="L87">
        <v>74.3</v>
      </c>
      <c r="M87">
        <v>7.5510000000000002</v>
      </c>
      <c r="N87">
        <v>59.289000000000001</v>
      </c>
      <c r="O87">
        <v>44.2</v>
      </c>
      <c r="P87">
        <v>2.3880999090000001</v>
      </c>
      <c r="Q87">
        <v>90140000</v>
      </c>
      <c r="R87">
        <v>2000</v>
      </c>
    </row>
    <row r="88" spans="1:18" x14ac:dyDescent="0.3">
      <c r="A88" t="s">
        <v>24</v>
      </c>
      <c r="B88">
        <v>2006</v>
      </c>
      <c r="C88">
        <v>940260000000</v>
      </c>
      <c r="D88">
        <v>801.66835370000001</v>
      </c>
      <c r="E88">
        <v>8.0607325719999992</v>
      </c>
      <c r="F88">
        <v>3777410000000</v>
      </c>
      <c r="G88">
        <v>121808000000</v>
      </c>
      <c r="H88">
        <v>178410000000</v>
      </c>
      <c r="I88">
        <v>4.8062886010000003</v>
      </c>
      <c r="J88">
        <v>29.430985710000002</v>
      </c>
      <c r="K88">
        <v>65.373000000000005</v>
      </c>
      <c r="L88">
        <v>71</v>
      </c>
      <c r="M88">
        <v>7.5529999999999999</v>
      </c>
      <c r="N88">
        <v>58.344999999999999</v>
      </c>
      <c r="O88">
        <v>43.2</v>
      </c>
      <c r="P88">
        <v>2.8054998649999998</v>
      </c>
      <c r="Q88">
        <v>166050000</v>
      </c>
      <c r="R88">
        <v>2000</v>
      </c>
    </row>
    <row r="89" spans="1:18" x14ac:dyDescent="0.3">
      <c r="A89" t="s">
        <v>24</v>
      </c>
      <c r="B89">
        <v>2007</v>
      </c>
      <c r="C89">
        <v>1216740000000</v>
      </c>
      <c r="D89">
        <v>1021.887077</v>
      </c>
      <c r="E89">
        <v>7.6608150669999997</v>
      </c>
      <c r="F89">
        <v>4176970000000</v>
      </c>
      <c r="G89">
        <v>150159000000</v>
      </c>
      <c r="H89">
        <v>229370000000</v>
      </c>
      <c r="I89">
        <v>7.593801129</v>
      </c>
      <c r="J89">
        <v>29.781042679999999</v>
      </c>
      <c r="K89">
        <v>65.802999999999997</v>
      </c>
      <c r="L89">
        <v>67.8</v>
      </c>
      <c r="M89">
        <v>7.5620000000000003</v>
      </c>
      <c r="N89">
        <v>57.417999999999999</v>
      </c>
      <c r="O89">
        <v>41.5</v>
      </c>
      <c r="P89">
        <v>3.95</v>
      </c>
      <c r="Q89">
        <v>233620000</v>
      </c>
      <c r="R89">
        <v>2000</v>
      </c>
    </row>
    <row r="90" spans="1:18" x14ac:dyDescent="0.3">
      <c r="A90" t="s">
        <v>24</v>
      </c>
      <c r="B90">
        <v>2008</v>
      </c>
      <c r="C90">
        <v>1198900000000</v>
      </c>
      <c r="D90">
        <v>992.51958490000004</v>
      </c>
      <c r="E90">
        <v>3.0866980590000002</v>
      </c>
      <c r="F90">
        <v>4388860000000</v>
      </c>
      <c r="G90">
        <v>194828000000</v>
      </c>
      <c r="H90">
        <v>321032000000</v>
      </c>
      <c r="I90">
        <v>5.4763432359999999</v>
      </c>
      <c r="J90">
        <v>30.143848590000001</v>
      </c>
      <c r="K90">
        <v>66.247</v>
      </c>
      <c r="L90">
        <v>64.5</v>
      </c>
      <c r="M90">
        <v>7.6289999999999996</v>
      </c>
      <c r="N90">
        <v>56.511000000000003</v>
      </c>
      <c r="O90">
        <v>39.4</v>
      </c>
      <c r="P90">
        <v>4.38</v>
      </c>
      <c r="Q90">
        <v>346890000</v>
      </c>
      <c r="R90">
        <v>2000</v>
      </c>
    </row>
    <row r="91" spans="1:18" x14ac:dyDescent="0.3">
      <c r="A91" t="s">
        <v>24</v>
      </c>
      <c r="B91">
        <v>2009</v>
      </c>
      <c r="C91">
        <v>1341890000000</v>
      </c>
      <c r="D91">
        <v>1094.949746</v>
      </c>
      <c r="E91">
        <v>7.8618888330000001</v>
      </c>
      <c r="F91">
        <v>4763100000000</v>
      </c>
      <c r="G91">
        <v>164909000000</v>
      </c>
      <c r="H91">
        <v>257202000000</v>
      </c>
      <c r="I91">
        <v>6.438437425</v>
      </c>
      <c r="J91">
        <v>30.518531400000001</v>
      </c>
      <c r="K91">
        <v>66.7</v>
      </c>
      <c r="L91">
        <v>61.2</v>
      </c>
      <c r="M91">
        <v>7.6360000000000001</v>
      </c>
      <c r="N91">
        <v>55.627000000000002</v>
      </c>
      <c r="O91">
        <v>37.4</v>
      </c>
      <c r="P91">
        <v>5.12</v>
      </c>
      <c r="Q91">
        <v>525090000</v>
      </c>
      <c r="R91">
        <v>2000</v>
      </c>
    </row>
    <row r="92" spans="1:18" x14ac:dyDescent="0.3">
      <c r="A92" t="s">
        <v>24</v>
      </c>
      <c r="B92">
        <v>2010</v>
      </c>
      <c r="C92">
        <v>1675620000000</v>
      </c>
      <c r="D92">
        <v>1347.519391</v>
      </c>
      <c r="E92">
        <v>8.4975847019999993</v>
      </c>
      <c r="F92">
        <v>5230660000000</v>
      </c>
      <c r="G92">
        <v>226351000000</v>
      </c>
      <c r="H92">
        <v>350233000000</v>
      </c>
      <c r="I92">
        <v>6.4688995719999998</v>
      </c>
      <c r="J92">
        <v>30.904219080000001</v>
      </c>
      <c r="K92">
        <v>67.162000000000006</v>
      </c>
      <c r="L92">
        <v>58.1</v>
      </c>
      <c r="M92">
        <v>7.6310000000000002</v>
      </c>
      <c r="N92">
        <v>54.765999999999998</v>
      </c>
      <c r="O92">
        <v>36.200000000000003</v>
      </c>
      <c r="P92">
        <v>7.5</v>
      </c>
      <c r="Q92">
        <v>752190000</v>
      </c>
      <c r="R92">
        <v>2010</v>
      </c>
    </row>
    <row r="93" spans="1:18" x14ac:dyDescent="0.3">
      <c r="A93" t="s">
        <v>24</v>
      </c>
      <c r="B93">
        <v>2011</v>
      </c>
      <c r="C93">
        <v>1823050000000</v>
      </c>
      <c r="D93">
        <v>1445.4612749999999</v>
      </c>
      <c r="E93">
        <v>5.2413161989999999</v>
      </c>
      <c r="F93">
        <v>5618380000000</v>
      </c>
      <c r="G93">
        <v>302905000000</v>
      </c>
      <c r="H93">
        <v>464462000000</v>
      </c>
      <c r="I93">
        <v>7.2741417909999999</v>
      </c>
      <c r="J93">
        <v>31.27465029</v>
      </c>
      <c r="K93">
        <v>67.623000000000005</v>
      </c>
      <c r="L93">
        <v>55</v>
      </c>
      <c r="M93">
        <v>7.609</v>
      </c>
      <c r="N93">
        <v>54.131</v>
      </c>
      <c r="O93">
        <v>35</v>
      </c>
      <c r="P93">
        <v>10.07</v>
      </c>
      <c r="Q93">
        <v>893862478</v>
      </c>
      <c r="R93">
        <v>2010</v>
      </c>
    </row>
    <row r="94" spans="1:18" x14ac:dyDescent="0.3">
      <c r="A94" t="s">
        <v>24</v>
      </c>
      <c r="B94">
        <v>2012</v>
      </c>
      <c r="C94">
        <v>1827640000000</v>
      </c>
      <c r="D94">
        <v>1429.321995</v>
      </c>
      <c r="E94">
        <v>5.4563875519999998</v>
      </c>
      <c r="F94">
        <v>6162750000000</v>
      </c>
      <c r="G94">
        <v>296828000000</v>
      </c>
      <c r="H94">
        <v>489694000000</v>
      </c>
      <c r="I94">
        <v>4.6698385910000004</v>
      </c>
      <c r="J94">
        <v>31.58989356</v>
      </c>
      <c r="K94">
        <v>68.075999999999993</v>
      </c>
      <c r="L94">
        <v>52</v>
      </c>
      <c r="M94">
        <v>7.6449999999999996</v>
      </c>
      <c r="N94">
        <v>53.509</v>
      </c>
      <c r="O94">
        <v>34.799999999999997</v>
      </c>
      <c r="P94">
        <v>11.100000380000001</v>
      </c>
      <c r="Q94">
        <v>864720917</v>
      </c>
      <c r="R94">
        <v>2010</v>
      </c>
    </row>
    <row r="95" spans="1:18" x14ac:dyDescent="0.3">
      <c r="A95" t="s">
        <v>24</v>
      </c>
      <c r="B95">
        <v>2013</v>
      </c>
      <c r="C95">
        <v>1856720000000</v>
      </c>
      <c r="D95">
        <v>1432.843975</v>
      </c>
      <c r="E95">
        <v>6.3861064010000002</v>
      </c>
      <c r="F95">
        <v>6497740000000</v>
      </c>
      <c r="G95">
        <v>314848000000</v>
      </c>
      <c r="H95">
        <v>465397000000</v>
      </c>
      <c r="I95">
        <v>6.2372546409999998</v>
      </c>
      <c r="J95">
        <v>31.909678920000001</v>
      </c>
      <c r="K95">
        <v>68.498999999999995</v>
      </c>
      <c r="L95">
        <v>49.1</v>
      </c>
      <c r="M95">
        <v>7.6779999999999999</v>
      </c>
      <c r="N95">
        <v>53.363999999999997</v>
      </c>
      <c r="O95">
        <v>34.9</v>
      </c>
      <c r="P95">
        <v>12.30000019</v>
      </c>
      <c r="Q95">
        <v>886304245</v>
      </c>
      <c r="R95">
        <v>2010</v>
      </c>
    </row>
    <row r="96" spans="1:18" x14ac:dyDescent="0.3">
      <c r="A96" t="s">
        <v>24</v>
      </c>
      <c r="B96">
        <v>2014</v>
      </c>
      <c r="C96">
        <v>2039130000000</v>
      </c>
      <c r="D96">
        <v>1553.883961</v>
      </c>
      <c r="E96">
        <v>7.4102276050000002</v>
      </c>
      <c r="F96">
        <v>6812810000000</v>
      </c>
      <c r="G96">
        <v>322694000000</v>
      </c>
      <c r="H96">
        <v>462910000000</v>
      </c>
      <c r="I96">
        <v>6.572483107</v>
      </c>
      <c r="J96">
        <v>32.228823339999998</v>
      </c>
      <c r="K96">
        <v>68.932000000000002</v>
      </c>
      <c r="L96">
        <v>46.4</v>
      </c>
      <c r="M96">
        <v>7.6559999999999997</v>
      </c>
      <c r="N96">
        <v>53.206000000000003</v>
      </c>
      <c r="O96">
        <v>33.9</v>
      </c>
      <c r="P96">
        <v>13.5</v>
      </c>
      <c r="Q96">
        <v>944008677</v>
      </c>
      <c r="R96">
        <v>2010</v>
      </c>
    </row>
    <row r="97" spans="1:18" x14ac:dyDescent="0.3">
      <c r="A97" t="s">
        <v>24</v>
      </c>
      <c r="B97">
        <v>2015</v>
      </c>
      <c r="C97">
        <v>2103590000000</v>
      </c>
      <c r="D97">
        <v>1583.998159</v>
      </c>
      <c r="E97">
        <v>7.9962537859999996</v>
      </c>
      <c r="F97">
        <v>7204580000000</v>
      </c>
      <c r="G97">
        <v>267951000000</v>
      </c>
      <c r="H97">
        <v>394131000000</v>
      </c>
      <c r="I97">
        <v>7.8574527239999998</v>
      </c>
      <c r="J97">
        <v>32.547299000000002</v>
      </c>
      <c r="K97">
        <v>69.325999999999993</v>
      </c>
      <c r="L97">
        <v>43.7</v>
      </c>
      <c r="M97">
        <v>7.6289999999999996</v>
      </c>
      <c r="N97">
        <v>53.030999999999999</v>
      </c>
      <c r="O97">
        <v>33.4</v>
      </c>
      <c r="P97">
        <v>14.899999619999999</v>
      </c>
      <c r="Q97">
        <v>1001056000</v>
      </c>
      <c r="R97">
        <v>2010</v>
      </c>
    </row>
    <row r="98" spans="1:18" x14ac:dyDescent="0.3">
      <c r="A98" t="s">
        <v>24</v>
      </c>
      <c r="B98">
        <v>2016</v>
      </c>
      <c r="C98">
        <v>2294800000000</v>
      </c>
      <c r="D98">
        <v>1707.5089290000001</v>
      </c>
      <c r="E98">
        <v>8.256305502</v>
      </c>
      <c r="F98">
        <v>7795520000000</v>
      </c>
      <c r="G98">
        <v>264542000000</v>
      </c>
      <c r="H98">
        <v>361649000000</v>
      </c>
      <c r="I98">
        <v>7.8200101860000002</v>
      </c>
      <c r="J98">
        <v>32.865078099999998</v>
      </c>
      <c r="K98">
        <v>69.709000000000003</v>
      </c>
      <c r="L98">
        <v>41.3</v>
      </c>
      <c r="M98">
        <v>7.6109999999999998</v>
      </c>
      <c r="N98">
        <v>52.851999999999997</v>
      </c>
      <c r="O98">
        <v>33</v>
      </c>
      <c r="P98">
        <v>16.5</v>
      </c>
      <c r="Q98">
        <v>1127809000</v>
      </c>
      <c r="R98">
        <v>2010</v>
      </c>
    </row>
    <row r="99" spans="1:18" x14ac:dyDescent="0.3">
      <c r="A99" t="s">
        <v>24</v>
      </c>
      <c r="B99">
        <v>2017</v>
      </c>
      <c r="C99">
        <v>2651470000000</v>
      </c>
      <c r="D99">
        <v>1950.104683</v>
      </c>
      <c r="E99">
        <v>6.7953834190000002</v>
      </c>
      <c r="F99">
        <v>8354710000000</v>
      </c>
      <c r="G99">
        <v>299241000000</v>
      </c>
      <c r="H99">
        <v>449925000000</v>
      </c>
      <c r="I99">
        <v>7.0815698630000004</v>
      </c>
      <c r="J99">
        <v>33.18213282</v>
      </c>
      <c r="K99">
        <v>70.067999999999998</v>
      </c>
      <c r="L99">
        <v>39</v>
      </c>
      <c r="M99">
        <v>7.6260000000000003</v>
      </c>
      <c r="N99">
        <v>52.670999999999999</v>
      </c>
      <c r="O99">
        <v>32.5</v>
      </c>
      <c r="P99">
        <v>18.200000760000002</v>
      </c>
      <c r="Q99">
        <v>1168902277</v>
      </c>
      <c r="R99">
        <v>2010</v>
      </c>
    </row>
    <row r="100" spans="1:18" x14ac:dyDescent="0.3">
      <c r="A100" t="s">
        <v>24</v>
      </c>
      <c r="B100">
        <v>2018</v>
      </c>
      <c r="C100">
        <v>2702930000000</v>
      </c>
      <c r="D100">
        <v>1966.2545520000001</v>
      </c>
      <c r="E100">
        <v>6.4538513450000004</v>
      </c>
      <c r="F100">
        <v>9230790000000</v>
      </c>
      <c r="G100">
        <v>324778000000</v>
      </c>
      <c r="H100">
        <v>514464000000</v>
      </c>
      <c r="I100">
        <v>7.0291392869999996</v>
      </c>
      <c r="J100">
        <v>33.498435350000001</v>
      </c>
      <c r="K100">
        <v>70.415000000000006</v>
      </c>
      <c r="L100">
        <v>36.9</v>
      </c>
      <c r="M100">
        <v>7.6520000000000001</v>
      </c>
      <c r="N100">
        <v>52.481999999999999</v>
      </c>
      <c r="O100">
        <v>32.9</v>
      </c>
      <c r="P100">
        <v>20.081300039999999</v>
      </c>
      <c r="Q100">
        <v>1176021869</v>
      </c>
      <c r="R100">
        <v>2010</v>
      </c>
    </row>
    <row r="101" spans="1:18" x14ac:dyDescent="0.3">
      <c r="A101" t="s">
        <v>24</v>
      </c>
      <c r="B101">
        <v>2019</v>
      </c>
      <c r="C101">
        <v>2835610000000</v>
      </c>
      <c r="D101">
        <v>2041.428637</v>
      </c>
      <c r="E101">
        <v>3.8714369409999998</v>
      </c>
      <c r="F101">
        <v>9932850000000</v>
      </c>
      <c r="G101">
        <v>324340000000</v>
      </c>
      <c r="H101">
        <v>486059000000</v>
      </c>
      <c r="I101">
        <v>4.9802400909999998</v>
      </c>
      <c r="J101">
        <v>33.813957879999997</v>
      </c>
      <c r="K101">
        <v>70.745999999999995</v>
      </c>
      <c r="L101">
        <v>34.9</v>
      </c>
      <c r="M101">
        <v>6.51</v>
      </c>
      <c r="N101">
        <v>52.283999999999999</v>
      </c>
      <c r="O101">
        <v>33.5</v>
      </c>
      <c r="P101">
        <v>29.523500439999999</v>
      </c>
      <c r="Q101">
        <v>1151480361</v>
      </c>
      <c r="R101">
        <v>2010</v>
      </c>
    </row>
    <row r="102" spans="1:18" x14ac:dyDescent="0.3">
      <c r="A102" t="s">
        <v>24</v>
      </c>
      <c r="B102">
        <v>2020</v>
      </c>
      <c r="C102">
        <v>2674850000000</v>
      </c>
      <c r="D102">
        <v>1907.042516</v>
      </c>
      <c r="E102">
        <v>-5.777724707</v>
      </c>
      <c r="F102">
        <v>9771020000000</v>
      </c>
      <c r="G102">
        <v>276410000000</v>
      </c>
      <c r="H102">
        <v>373202000000</v>
      </c>
      <c r="I102">
        <v>-4.59785588</v>
      </c>
      <c r="J102">
        <v>34.128672610000002</v>
      </c>
      <c r="K102">
        <v>70.156000000000006</v>
      </c>
      <c r="L102">
        <v>33</v>
      </c>
      <c r="M102">
        <v>7.859</v>
      </c>
      <c r="N102">
        <v>51.546999999999997</v>
      </c>
      <c r="O102">
        <v>36.1</v>
      </c>
      <c r="P102">
        <v>43.405443130000002</v>
      </c>
      <c r="Q102">
        <v>1153709832</v>
      </c>
      <c r="R102">
        <v>2020</v>
      </c>
    </row>
    <row r="103" spans="1:18" x14ac:dyDescent="0.3">
      <c r="A103" t="s">
        <v>24</v>
      </c>
      <c r="B103">
        <v>2021</v>
      </c>
      <c r="C103">
        <v>3167270000000</v>
      </c>
      <c r="D103">
        <v>2239.613844</v>
      </c>
      <c r="E103">
        <v>9.6895924919999992</v>
      </c>
      <c r="F103">
        <v>11384400000000</v>
      </c>
      <c r="G103">
        <v>395426000000</v>
      </c>
      <c r="H103">
        <v>573092000000</v>
      </c>
      <c r="I103">
        <v>9.8211874170000009</v>
      </c>
      <c r="J103">
        <v>34.442551719999997</v>
      </c>
      <c r="K103">
        <v>67.281999999999996</v>
      </c>
      <c r="L103">
        <v>31.2</v>
      </c>
      <c r="M103">
        <v>6.38</v>
      </c>
      <c r="N103">
        <v>52.521999999999998</v>
      </c>
      <c r="O103">
        <v>34.9</v>
      </c>
      <c r="P103">
        <v>49.258098599999997</v>
      </c>
      <c r="Q103">
        <v>1154046584</v>
      </c>
      <c r="R103">
        <v>2020</v>
      </c>
    </row>
    <row r="104" spans="1:18" x14ac:dyDescent="0.3">
      <c r="A104" t="s">
        <v>24</v>
      </c>
      <c r="B104">
        <v>2022</v>
      </c>
      <c r="C104">
        <v>3346110000000</v>
      </c>
      <c r="D104">
        <v>2347.4482939999998</v>
      </c>
      <c r="E104">
        <v>7.6093649780000003</v>
      </c>
      <c r="F104">
        <v>13124100000000</v>
      </c>
      <c r="G104">
        <v>453415000000</v>
      </c>
      <c r="H104">
        <v>720441000000</v>
      </c>
      <c r="I104">
        <v>7.010372652</v>
      </c>
      <c r="J104">
        <v>34.755567399999997</v>
      </c>
      <c r="K104">
        <v>71.697999999999993</v>
      </c>
      <c r="L104">
        <v>29.5</v>
      </c>
      <c r="M104">
        <v>4.8220000000000001</v>
      </c>
      <c r="N104">
        <v>53.587000000000003</v>
      </c>
      <c r="O104">
        <v>34.9</v>
      </c>
      <c r="P104">
        <v>55.9</v>
      </c>
      <c r="Q104">
        <v>1142930000</v>
      </c>
      <c r="R104">
        <v>2020</v>
      </c>
    </row>
    <row r="105" spans="1:18" x14ac:dyDescent="0.3">
      <c r="A105" t="s">
        <v>24</v>
      </c>
      <c r="B105">
        <v>2023</v>
      </c>
      <c r="C105">
        <v>3638490000000</v>
      </c>
      <c r="D105">
        <v>2530.1203129999999</v>
      </c>
      <c r="E105">
        <v>9.1907549300000007</v>
      </c>
      <c r="F105">
        <v>14845900000000</v>
      </c>
      <c r="G105">
        <v>431559000000</v>
      </c>
      <c r="H105">
        <v>673929000000</v>
      </c>
      <c r="I105">
        <v>5.9247810259999998</v>
      </c>
      <c r="J105">
        <v>35.067691840000002</v>
      </c>
      <c r="K105">
        <v>72.003</v>
      </c>
      <c r="L105">
        <v>28</v>
      </c>
      <c r="M105">
        <v>4.1719999999999997</v>
      </c>
      <c r="N105">
        <v>54.697000000000003</v>
      </c>
      <c r="O105">
        <v>34.9</v>
      </c>
      <c r="P105">
        <v>60.252300259999998</v>
      </c>
      <c r="Q105">
        <v>1158554883</v>
      </c>
      <c r="R105">
        <v>2020</v>
      </c>
    </row>
    <row r="106" spans="1:18" x14ac:dyDescent="0.3">
      <c r="A106" t="s">
        <v>24</v>
      </c>
      <c r="B106">
        <v>2024</v>
      </c>
      <c r="C106">
        <v>3909890000000</v>
      </c>
      <c r="D106">
        <v>2694.7378090000002</v>
      </c>
      <c r="E106">
        <v>6.494765524</v>
      </c>
      <c r="F106">
        <v>16192400000000</v>
      </c>
      <c r="G106">
        <v>442762000000</v>
      </c>
      <c r="H106">
        <v>718261000000</v>
      </c>
      <c r="I106">
        <v>6.486086341</v>
      </c>
      <c r="J106">
        <v>35.378897240000001</v>
      </c>
      <c r="K106">
        <v>72.234999999999999</v>
      </c>
      <c r="L106">
        <v>26.6</v>
      </c>
      <c r="M106">
        <v>4.173</v>
      </c>
      <c r="N106">
        <v>55.639000000000003</v>
      </c>
      <c r="O106">
        <v>34.9</v>
      </c>
      <c r="P106">
        <v>64.943496699999997</v>
      </c>
      <c r="Q106">
        <v>1151356612</v>
      </c>
      <c r="R106">
        <v>2020</v>
      </c>
    </row>
    <row r="107" spans="1:18" x14ac:dyDescent="0.3">
      <c r="A107" t="s">
        <v>25</v>
      </c>
      <c r="B107">
        <v>1990</v>
      </c>
      <c r="C107">
        <v>517014000000</v>
      </c>
      <c r="D107">
        <v>3494.063232</v>
      </c>
      <c r="E107">
        <v>-2.999995642</v>
      </c>
      <c r="F107">
        <v>1187870000000</v>
      </c>
      <c r="G107">
        <v>42039000000</v>
      </c>
      <c r="H107">
        <v>40737000000</v>
      </c>
      <c r="I107">
        <v>-6.5227129909999997</v>
      </c>
      <c r="J107">
        <v>73.711608889999994</v>
      </c>
      <c r="K107">
        <v>68.886097559999996</v>
      </c>
      <c r="L107">
        <v>21.6</v>
      </c>
      <c r="M107">
        <v>5.1100000000000003</v>
      </c>
      <c r="N107">
        <v>67.406999999999996</v>
      </c>
      <c r="O107">
        <v>3.8</v>
      </c>
      <c r="P107">
        <v>0</v>
      </c>
      <c r="Q107">
        <v>0</v>
      </c>
      <c r="R107">
        <v>1990</v>
      </c>
    </row>
    <row r="108" spans="1:18" x14ac:dyDescent="0.3">
      <c r="A108" t="s">
        <v>25</v>
      </c>
      <c r="B108">
        <v>1991</v>
      </c>
      <c r="C108">
        <v>517963000000</v>
      </c>
      <c r="D108">
        <v>3490.452393</v>
      </c>
      <c r="E108">
        <v>-5.0469394510000001</v>
      </c>
      <c r="F108">
        <v>1166060000000</v>
      </c>
      <c r="G108">
        <v>42039000000</v>
      </c>
      <c r="H108">
        <v>40737000000</v>
      </c>
      <c r="I108">
        <v>-6.5227129909999997</v>
      </c>
      <c r="J108">
        <v>73.709510800000004</v>
      </c>
      <c r="K108">
        <v>68.474390240000005</v>
      </c>
      <c r="L108">
        <v>21.6</v>
      </c>
      <c r="M108">
        <v>5.1100000000000003</v>
      </c>
      <c r="N108">
        <v>66.858000000000004</v>
      </c>
      <c r="O108">
        <v>3.8</v>
      </c>
      <c r="P108">
        <v>3.3649999999999999E-4</v>
      </c>
      <c r="Q108">
        <v>300</v>
      </c>
      <c r="R108">
        <v>1990</v>
      </c>
    </row>
    <row r="109" spans="1:18" x14ac:dyDescent="0.3">
      <c r="A109" t="s">
        <v>25</v>
      </c>
      <c r="B109">
        <v>1992</v>
      </c>
      <c r="C109">
        <v>460291000000</v>
      </c>
      <c r="D109">
        <v>3098.8027339999999</v>
      </c>
      <c r="E109">
        <v>-14.531073770000001</v>
      </c>
      <c r="F109">
        <v>1019330000000</v>
      </c>
      <c r="G109">
        <v>42039000000</v>
      </c>
      <c r="H109">
        <v>40737000000</v>
      </c>
      <c r="I109">
        <v>-5.3962926260000001</v>
      </c>
      <c r="J109">
        <v>73.382293700000005</v>
      </c>
      <c r="K109">
        <v>66.873170729999998</v>
      </c>
      <c r="L109">
        <v>21.7</v>
      </c>
      <c r="M109">
        <v>5.181</v>
      </c>
      <c r="N109">
        <v>65.864000000000004</v>
      </c>
      <c r="O109">
        <v>4</v>
      </c>
      <c r="P109">
        <v>6.7299999999999999E-4</v>
      </c>
      <c r="Q109">
        <v>6000</v>
      </c>
      <c r="R109">
        <v>1990</v>
      </c>
    </row>
    <row r="110" spans="1:18" x14ac:dyDescent="0.3">
      <c r="A110" t="s">
        <v>25</v>
      </c>
      <c r="B110">
        <v>1993</v>
      </c>
      <c r="C110">
        <v>435084000000</v>
      </c>
      <c r="D110">
        <v>2930.6701659999999</v>
      </c>
      <c r="E110">
        <v>-8.6685403430000001</v>
      </c>
      <c r="F110">
        <v>953037000000</v>
      </c>
      <c r="G110">
        <v>44297000000</v>
      </c>
      <c r="H110">
        <v>36135000000</v>
      </c>
      <c r="I110">
        <v>-0.72943965399999999</v>
      </c>
      <c r="J110">
        <v>73.059097289999997</v>
      </c>
      <c r="K110">
        <v>64.935853660000006</v>
      </c>
      <c r="L110">
        <v>21.9</v>
      </c>
      <c r="M110">
        <v>5.883</v>
      </c>
      <c r="N110">
        <v>63.84</v>
      </c>
      <c r="O110">
        <v>4</v>
      </c>
      <c r="P110">
        <v>1.34E-2</v>
      </c>
      <c r="Q110">
        <v>10000</v>
      </c>
      <c r="R110">
        <v>1990</v>
      </c>
    </row>
    <row r="111" spans="1:18" x14ac:dyDescent="0.3">
      <c r="A111" t="s">
        <v>25</v>
      </c>
      <c r="B111">
        <v>1994</v>
      </c>
      <c r="C111">
        <v>395077000000</v>
      </c>
      <c r="D111">
        <v>2662.1040039999998</v>
      </c>
      <c r="E111">
        <v>-12.56975598</v>
      </c>
      <c r="F111">
        <v>851034000000</v>
      </c>
      <c r="G111">
        <v>67379000000</v>
      </c>
      <c r="H111">
        <v>50452000000</v>
      </c>
      <c r="I111">
        <v>0.218575625</v>
      </c>
      <c r="J111">
        <v>72.954109189999997</v>
      </c>
      <c r="K111">
        <v>64.467073170000006</v>
      </c>
      <c r="L111">
        <v>22.1</v>
      </c>
      <c r="M111">
        <v>8.1310000000000002</v>
      </c>
      <c r="N111">
        <v>61.875</v>
      </c>
      <c r="O111">
        <v>3.9</v>
      </c>
      <c r="P111">
        <v>5.3800000000000001E-2</v>
      </c>
      <c r="Q111">
        <v>27744</v>
      </c>
      <c r="R111">
        <v>1990</v>
      </c>
    </row>
    <row r="112" spans="1:18" x14ac:dyDescent="0.3">
      <c r="A112" t="s">
        <v>25</v>
      </c>
      <c r="B112">
        <v>1995</v>
      </c>
      <c r="C112">
        <v>395537000000</v>
      </c>
      <c r="D112">
        <v>2665.7797850000002</v>
      </c>
      <c r="E112">
        <v>-4.1435284049999996</v>
      </c>
      <c r="F112">
        <v>832875000000</v>
      </c>
      <c r="G112">
        <v>82419000000</v>
      </c>
      <c r="H112">
        <v>62603000000</v>
      </c>
      <c r="I112">
        <v>-2.4057307479999999</v>
      </c>
      <c r="J112">
        <v>72.935279850000001</v>
      </c>
      <c r="K112">
        <v>64.690731709999994</v>
      </c>
      <c r="L112">
        <v>22</v>
      </c>
      <c r="M112">
        <v>9.4489999999999998</v>
      </c>
      <c r="N112">
        <v>61.412999999999997</v>
      </c>
      <c r="O112">
        <v>3.9</v>
      </c>
      <c r="P112">
        <v>0.14799999999999999</v>
      </c>
      <c r="Q112">
        <v>88526</v>
      </c>
      <c r="R112">
        <v>1990</v>
      </c>
    </row>
    <row r="113" spans="1:18" x14ac:dyDescent="0.3">
      <c r="A113" t="s">
        <v>25</v>
      </c>
      <c r="B113">
        <v>1996</v>
      </c>
      <c r="C113">
        <v>391725000000</v>
      </c>
      <c r="D113">
        <v>2643.9291990000002</v>
      </c>
      <c r="E113">
        <v>-3.755069438</v>
      </c>
      <c r="F113">
        <v>817527000000</v>
      </c>
      <c r="G113">
        <v>89685000000</v>
      </c>
      <c r="H113">
        <v>68092000000</v>
      </c>
      <c r="I113">
        <v>-1.9571621159999999</v>
      </c>
      <c r="J113">
        <v>73.06230927</v>
      </c>
      <c r="K113">
        <v>65.85414634</v>
      </c>
      <c r="L113">
        <v>21.7</v>
      </c>
      <c r="M113">
        <v>9.6649999999999991</v>
      </c>
      <c r="N113">
        <v>60.387</v>
      </c>
      <c r="O113">
        <v>3.7</v>
      </c>
      <c r="P113">
        <v>0.27</v>
      </c>
      <c r="Q113">
        <v>223002</v>
      </c>
      <c r="R113">
        <v>1990</v>
      </c>
    </row>
    <row r="114" spans="1:18" x14ac:dyDescent="0.3">
      <c r="A114" t="s">
        <v>25</v>
      </c>
      <c r="B114">
        <v>1997</v>
      </c>
      <c r="C114">
        <v>404929000000</v>
      </c>
      <c r="D114">
        <v>2737.5720209999999</v>
      </c>
      <c r="E114">
        <v>1.399915805</v>
      </c>
      <c r="F114">
        <v>843110000000</v>
      </c>
      <c r="G114">
        <v>86895000000</v>
      </c>
      <c r="H114">
        <v>71983000000</v>
      </c>
      <c r="I114">
        <v>2.8001677780000001</v>
      </c>
      <c r="J114">
        <v>73.115661619999997</v>
      </c>
      <c r="K114">
        <v>66.698780490000004</v>
      </c>
      <c r="L114">
        <v>21.3</v>
      </c>
      <c r="M114">
        <v>11.813000000000001</v>
      </c>
      <c r="N114">
        <v>59.045000000000002</v>
      </c>
      <c r="O114">
        <v>3.8</v>
      </c>
      <c r="P114">
        <v>0.47299999999999998</v>
      </c>
      <c r="Q114">
        <v>484883</v>
      </c>
      <c r="R114">
        <v>1990</v>
      </c>
    </row>
    <row r="115" spans="1:18" x14ac:dyDescent="0.3">
      <c r="A115" t="s">
        <v>25</v>
      </c>
      <c r="B115">
        <v>1998</v>
      </c>
      <c r="C115">
        <v>270955000000</v>
      </c>
      <c r="D115">
        <v>1834.8618160000001</v>
      </c>
      <c r="E115">
        <v>-5.2999616270000001</v>
      </c>
      <c r="F115">
        <v>807029000000</v>
      </c>
      <c r="G115">
        <v>74444000000</v>
      </c>
      <c r="H115">
        <v>58015000000</v>
      </c>
      <c r="I115">
        <v>-2.0999588569999998</v>
      </c>
      <c r="J115">
        <v>73.191207890000001</v>
      </c>
      <c r="K115">
        <v>67.0297561</v>
      </c>
      <c r="L115">
        <v>20.8</v>
      </c>
      <c r="M115">
        <v>13.260999999999999</v>
      </c>
      <c r="N115">
        <v>58.115000000000002</v>
      </c>
      <c r="O115">
        <v>3.6</v>
      </c>
      <c r="P115">
        <v>0.81299999999999994</v>
      </c>
      <c r="Q115">
        <v>747160</v>
      </c>
      <c r="R115">
        <v>1990</v>
      </c>
    </row>
    <row r="116" spans="1:18" x14ac:dyDescent="0.3">
      <c r="A116" t="s">
        <v>25</v>
      </c>
      <c r="B116">
        <v>1999</v>
      </c>
      <c r="C116">
        <v>195907000000</v>
      </c>
      <c r="D116">
        <v>1330.757202</v>
      </c>
      <c r="E116">
        <v>6.3999146910000002</v>
      </c>
      <c r="F116">
        <v>870676000000</v>
      </c>
      <c r="G116">
        <v>75551000000</v>
      </c>
      <c r="H116">
        <v>39537000000</v>
      </c>
      <c r="I116">
        <v>-1.1999652679999999</v>
      </c>
      <c r="J116">
        <v>72.965332029999999</v>
      </c>
      <c r="K116">
        <v>65.98219512</v>
      </c>
      <c r="L116">
        <v>20.2</v>
      </c>
      <c r="M116">
        <v>13.036</v>
      </c>
      <c r="N116">
        <v>61.253</v>
      </c>
      <c r="O116">
        <v>3.8</v>
      </c>
      <c r="P116">
        <v>1.02</v>
      </c>
      <c r="Q116">
        <v>1370630</v>
      </c>
      <c r="R116">
        <v>1990</v>
      </c>
    </row>
    <row r="117" spans="1:18" x14ac:dyDescent="0.3">
      <c r="A117" t="s">
        <v>25</v>
      </c>
      <c r="B117">
        <v>2000</v>
      </c>
      <c r="C117">
        <v>259710000000</v>
      </c>
      <c r="D117">
        <v>1771.594116</v>
      </c>
      <c r="E117">
        <v>10.00006681</v>
      </c>
      <c r="F117">
        <v>1000580000000</v>
      </c>
      <c r="G117">
        <v>105033000000</v>
      </c>
      <c r="H117">
        <v>44862000000</v>
      </c>
      <c r="I117">
        <v>5.5998875100000003</v>
      </c>
      <c r="J117">
        <v>73.156822199999993</v>
      </c>
      <c r="K117">
        <v>65.483658539999993</v>
      </c>
      <c r="L117">
        <v>19.399999999999999</v>
      </c>
      <c r="M117">
        <v>10.581</v>
      </c>
      <c r="N117">
        <v>61.271999999999998</v>
      </c>
      <c r="O117">
        <v>3.5</v>
      </c>
      <c r="P117">
        <v>1.977230109</v>
      </c>
      <c r="Q117">
        <v>3263200</v>
      </c>
      <c r="R117">
        <v>2000</v>
      </c>
    </row>
    <row r="118" spans="1:18" x14ac:dyDescent="0.3">
      <c r="A118" t="s">
        <v>25</v>
      </c>
      <c r="B118">
        <v>2001</v>
      </c>
      <c r="C118">
        <v>306602000000</v>
      </c>
      <c r="D118">
        <v>2100.352539</v>
      </c>
      <c r="E118">
        <v>5.1000512259999997</v>
      </c>
      <c r="F118">
        <v>1074590000000</v>
      </c>
      <c r="G118">
        <v>101884000000</v>
      </c>
      <c r="H118">
        <v>53764000000</v>
      </c>
      <c r="I118">
        <v>6.7999334190000003</v>
      </c>
      <c r="J118">
        <v>73.229980470000001</v>
      </c>
      <c r="K118">
        <v>65.383414630000004</v>
      </c>
      <c r="L118">
        <v>18.399999999999999</v>
      </c>
      <c r="M118">
        <v>8.9779999999999998</v>
      </c>
      <c r="N118">
        <v>59.948999999999998</v>
      </c>
      <c r="O118">
        <v>3.6</v>
      </c>
      <c r="P118">
        <v>2.944367787</v>
      </c>
      <c r="Q118">
        <v>7750499</v>
      </c>
      <c r="R118">
        <v>2000</v>
      </c>
    </row>
    <row r="119" spans="1:18" x14ac:dyDescent="0.3">
      <c r="A119" t="s">
        <v>25</v>
      </c>
      <c r="B119">
        <v>2002</v>
      </c>
      <c r="C119">
        <v>345470000000</v>
      </c>
      <c r="D119">
        <v>2377.5295409999999</v>
      </c>
      <c r="E119">
        <v>4.6999919090000004</v>
      </c>
      <c r="F119">
        <v>1167900000000</v>
      </c>
      <c r="G119">
        <v>107301000000</v>
      </c>
      <c r="H119">
        <v>60966000000</v>
      </c>
      <c r="I119">
        <v>7.0000342880000002</v>
      </c>
      <c r="J119">
        <v>73.292900799999998</v>
      </c>
      <c r="K119">
        <v>65.128780489999997</v>
      </c>
      <c r="L119">
        <v>17.3</v>
      </c>
      <c r="M119">
        <v>7.875</v>
      </c>
      <c r="N119">
        <v>60.295000000000002</v>
      </c>
      <c r="O119">
        <v>3.5</v>
      </c>
      <c r="P119">
        <v>4.128271818</v>
      </c>
      <c r="Q119">
        <v>17608756</v>
      </c>
      <c r="R119">
        <v>2000</v>
      </c>
    </row>
    <row r="120" spans="1:18" x14ac:dyDescent="0.3">
      <c r="A120" t="s">
        <v>25</v>
      </c>
      <c r="B120">
        <v>2003</v>
      </c>
      <c r="C120">
        <v>430347000000</v>
      </c>
      <c r="D120">
        <v>2975.123047</v>
      </c>
      <c r="E120">
        <v>7.2999523450000003</v>
      </c>
      <c r="F120">
        <v>1338660000000</v>
      </c>
      <c r="G120">
        <v>135929000000</v>
      </c>
      <c r="H120">
        <v>76070000000</v>
      </c>
      <c r="I120">
        <v>6.0998878489999999</v>
      </c>
      <c r="J120">
        <v>73.405738830000004</v>
      </c>
      <c r="K120">
        <v>65.027560980000004</v>
      </c>
      <c r="L120">
        <v>16.100000000000001</v>
      </c>
      <c r="M120">
        <v>8.2100000000000009</v>
      </c>
      <c r="N120">
        <v>59.981999999999999</v>
      </c>
      <c r="O120">
        <v>3.3</v>
      </c>
      <c r="P120">
        <v>8.2988606160000007</v>
      </c>
      <c r="Q120">
        <v>36135135</v>
      </c>
      <c r="R120">
        <v>2000</v>
      </c>
    </row>
    <row r="121" spans="1:18" x14ac:dyDescent="0.3">
      <c r="A121" t="s">
        <v>25</v>
      </c>
      <c r="B121">
        <v>2004</v>
      </c>
      <c r="C121">
        <v>591017000000</v>
      </c>
      <c r="D121">
        <v>4102.3647460000002</v>
      </c>
      <c r="E121">
        <v>7.1999478699999999</v>
      </c>
      <c r="F121">
        <v>1473340000000</v>
      </c>
      <c r="G121">
        <v>183207000000</v>
      </c>
      <c r="H121">
        <v>97382000000</v>
      </c>
      <c r="I121">
        <v>9.3999588149999997</v>
      </c>
      <c r="J121">
        <v>73.306579589999998</v>
      </c>
      <c r="K121">
        <v>65.470975609999996</v>
      </c>
      <c r="L121">
        <v>15</v>
      </c>
      <c r="M121">
        <v>7.7629999999999999</v>
      </c>
      <c r="N121">
        <v>60.572000000000003</v>
      </c>
      <c r="O121">
        <v>3.5</v>
      </c>
      <c r="P121">
        <v>12.859388900000001</v>
      </c>
      <c r="Q121">
        <v>73722222</v>
      </c>
      <c r="R121">
        <v>2000</v>
      </c>
    </row>
    <row r="122" spans="1:18" x14ac:dyDescent="0.3">
      <c r="A122" t="s">
        <v>25</v>
      </c>
      <c r="B122">
        <v>2005</v>
      </c>
      <c r="C122">
        <v>764016000000</v>
      </c>
      <c r="D122">
        <v>5323.455078</v>
      </c>
      <c r="E122">
        <v>6.3999654479999997</v>
      </c>
      <c r="F122">
        <v>1696730000000</v>
      </c>
      <c r="G122">
        <v>243798000000</v>
      </c>
      <c r="H122">
        <v>125434000000</v>
      </c>
      <c r="I122">
        <v>9.0999894599999998</v>
      </c>
      <c r="J122">
        <v>73.161392210000002</v>
      </c>
      <c r="K122">
        <v>65.5297561</v>
      </c>
      <c r="L122">
        <v>13.9</v>
      </c>
      <c r="M122">
        <v>7.1239999999999997</v>
      </c>
      <c r="N122">
        <v>60.914000000000001</v>
      </c>
      <c r="O122">
        <v>3.6</v>
      </c>
      <c r="P122">
        <v>15.226699829999999</v>
      </c>
      <c r="Q122">
        <v>120000000</v>
      </c>
      <c r="R122">
        <v>2000</v>
      </c>
    </row>
    <row r="123" spans="1:18" x14ac:dyDescent="0.3">
      <c r="A123" t="s">
        <v>25</v>
      </c>
      <c r="B123">
        <v>2006</v>
      </c>
      <c r="C123">
        <v>989932000000</v>
      </c>
      <c r="D123">
        <v>6920.1997069999998</v>
      </c>
      <c r="E123">
        <v>8.2000682549999997</v>
      </c>
      <c r="F123">
        <v>2133190000000</v>
      </c>
      <c r="G123">
        <v>303551000000</v>
      </c>
      <c r="H123">
        <v>164281000000</v>
      </c>
      <c r="I123">
        <v>9.500094313</v>
      </c>
      <c r="J123">
        <v>73.24391937</v>
      </c>
      <c r="K123">
        <v>66.727560980000007</v>
      </c>
      <c r="L123">
        <v>12.8</v>
      </c>
      <c r="M123">
        <v>7.0549999999999997</v>
      </c>
      <c r="N123">
        <v>61.226999999999997</v>
      </c>
      <c r="O123">
        <v>3.5</v>
      </c>
      <c r="P123">
        <v>18.023300169999999</v>
      </c>
      <c r="Q123">
        <v>150674000</v>
      </c>
      <c r="R123">
        <v>2000</v>
      </c>
    </row>
    <row r="124" spans="1:18" x14ac:dyDescent="0.3">
      <c r="A124" t="s">
        <v>25</v>
      </c>
      <c r="B124">
        <v>2007</v>
      </c>
      <c r="C124">
        <v>1299700000000</v>
      </c>
      <c r="D124">
        <v>9101.2392579999996</v>
      </c>
      <c r="E124">
        <v>8.4999777689999991</v>
      </c>
      <c r="F124">
        <v>2377450000000</v>
      </c>
      <c r="G124">
        <v>354403000000</v>
      </c>
      <c r="H124">
        <v>223486000000</v>
      </c>
      <c r="I124">
        <v>11.19992605</v>
      </c>
      <c r="J124">
        <v>73.385604860000001</v>
      </c>
      <c r="K124">
        <v>67.586829269999996</v>
      </c>
      <c r="L124">
        <v>12</v>
      </c>
      <c r="M124">
        <v>6.0019999999999998</v>
      </c>
      <c r="N124">
        <v>62.024999999999999</v>
      </c>
      <c r="O124">
        <v>3.7</v>
      </c>
      <c r="P124">
        <v>24.66</v>
      </c>
      <c r="Q124">
        <v>171200000</v>
      </c>
      <c r="R124">
        <v>2000</v>
      </c>
    </row>
    <row r="125" spans="1:18" x14ac:dyDescent="0.3">
      <c r="A125" t="s">
        <v>25</v>
      </c>
      <c r="B125">
        <v>2008</v>
      </c>
      <c r="C125">
        <v>1660850000000</v>
      </c>
      <c r="D125">
        <v>11635.284180000001</v>
      </c>
      <c r="E125">
        <v>5.1999692639999999</v>
      </c>
      <c r="F125">
        <v>2878200000000</v>
      </c>
      <c r="G125">
        <v>471606000000</v>
      </c>
      <c r="H125">
        <v>291861000000</v>
      </c>
      <c r="I125">
        <v>8.6000358949999995</v>
      </c>
      <c r="J125">
        <v>73.482246399999994</v>
      </c>
      <c r="K125">
        <v>67.949268290000006</v>
      </c>
      <c r="L125">
        <v>11.3</v>
      </c>
      <c r="M125">
        <v>6.2050000000000001</v>
      </c>
      <c r="N125">
        <v>62.548999999999999</v>
      </c>
      <c r="O125">
        <v>3.3</v>
      </c>
      <c r="P125">
        <v>32</v>
      </c>
      <c r="Q125">
        <v>199522340</v>
      </c>
      <c r="R125">
        <v>2000</v>
      </c>
    </row>
    <row r="126" spans="1:18" x14ac:dyDescent="0.3">
      <c r="A126" t="s">
        <v>25</v>
      </c>
      <c r="B126">
        <v>2009</v>
      </c>
      <c r="C126">
        <v>1222650000000</v>
      </c>
      <c r="D126">
        <v>8562.8242190000001</v>
      </c>
      <c r="E126">
        <v>-7.7999939129999998</v>
      </c>
      <c r="F126">
        <v>2768600000000</v>
      </c>
      <c r="G126">
        <v>303388000000</v>
      </c>
      <c r="H126">
        <v>191803000000</v>
      </c>
      <c r="I126">
        <v>-3.8999196330000001</v>
      </c>
      <c r="J126">
        <v>73.528869630000003</v>
      </c>
      <c r="K126">
        <v>68.684634149999994</v>
      </c>
      <c r="L126">
        <v>10.7</v>
      </c>
      <c r="M126">
        <v>8.3010000000000002</v>
      </c>
      <c r="N126">
        <v>62.658999999999999</v>
      </c>
      <c r="O126">
        <v>3.6</v>
      </c>
      <c r="P126">
        <v>42.55</v>
      </c>
      <c r="Q126">
        <v>230050000</v>
      </c>
      <c r="R126">
        <v>2000</v>
      </c>
    </row>
    <row r="127" spans="1:18" x14ac:dyDescent="0.3">
      <c r="A127" t="s">
        <v>25</v>
      </c>
      <c r="B127">
        <v>2010</v>
      </c>
      <c r="C127">
        <v>1524920000000</v>
      </c>
      <c r="D127">
        <v>10674.990229999999</v>
      </c>
      <c r="E127">
        <v>4.4999999989999999</v>
      </c>
      <c r="F127">
        <v>2927000000000</v>
      </c>
      <c r="G127">
        <v>400630000000</v>
      </c>
      <c r="H127">
        <v>248634000000</v>
      </c>
      <c r="I127">
        <v>3.4999339300000001</v>
      </c>
      <c r="J127">
        <v>73.669630789999999</v>
      </c>
      <c r="K127">
        <v>68.841219510000002</v>
      </c>
      <c r="L127">
        <v>10.4</v>
      </c>
      <c r="M127">
        <v>7.407</v>
      </c>
      <c r="N127">
        <v>62.646999999999998</v>
      </c>
      <c r="O127">
        <v>3.3</v>
      </c>
      <c r="P127">
        <v>49</v>
      </c>
      <c r="Q127">
        <v>237689224</v>
      </c>
      <c r="R127">
        <v>2010</v>
      </c>
    </row>
    <row r="128" spans="1:18" x14ac:dyDescent="0.3">
      <c r="A128" t="s">
        <v>25</v>
      </c>
      <c r="B128">
        <v>2011</v>
      </c>
      <c r="C128">
        <v>2045920000000</v>
      </c>
      <c r="D128">
        <v>14305.33203</v>
      </c>
      <c r="E128">
        <v>4.3000291859999997</v>
      </c>
      <c r="F128">
        <v>3259320000000</v>
      </c>
      <c r="G128">
        <v>522011000000</v>
      </c>
      <c r="H128">
        <v>323831000000</v>
      </c>
      <c r="I128">
        <v>5.2999961520000003</v>
      </c>
      <c r="J128">
        <v>73.853485109999994</v>
      </c>
      <c r="K128">
        <v>69.683902439999997</v>
      </c>
      <c r="L128">
        <v>10.199999999999999</v>
      </c>
      <c r="M128">
        <v>6.5709999999999997</v>
      </c>
      <c r="N128">
        <v>62.939</v>
      </c>
      <c r="O128">
        <v>3.2</v>
      </c>
      <c r="P128">
        <v>58</v>
      </c>
      <c r="Q128">
        <v>203751647</v>
      </c>
      <c r="R128">
        <v>2010</v>
      </c>
    </row>
    <row r="129" spans="1:18" x14ac:dyDescent="0.3">
      <c r="A129" t="s">
        <v>25</v>
      </c>
      <c r="B129">
        <v>2012</v>
      </c>
      <c r="C129">
        <v>2208290000000</v>
      </c>
      <c r="D129">
        <v>15401.851559999999</v>
      </c>
      <c r="E129">
        <v>4.0240861570000002</v>
      </c>
      <c r="F129">
        <v>3480300000000</v>
      </c>
      <c r="G129">
        <v>529256000000</v>
      </c>
      <c r="H129">
        <v>335446000000</v>
      </c>
      <c r="I129">
        <v>6.16206195</v>
      </c>
      <c r="J129">
        <v>73.97265625</v>
      </c>
      <c r="K129">
        <v>70.072195120000003</v>
      </c>
      <c r="L129">
        <v>9.9</v>
      </c>
      <c r="M129">
        <v>5.484</v>
      </c>
      <c r="N129">
        <v>62.963999999999999</v>
      </c>
      <c r="O129">
        <v>3.2</v>
      </c>
      <c r="P129">
        <v>66</v>
      </c>
      <c r="Q129">
        <v>208065063</v>
      </c>
      <c r="R129">
        <v>2010</v>
      </c>
    </row>
    <row r="130" spans="1:18" x14ac:dyDescent="0.3">
      <c r="A130" t="s">
        <v>25</v>
      </c>
      <c r="B130">
        <v>2013</v>
      </c>
      <c r="C130">
        <v>2292470000000</v>
      </c>
      <c r="D130">
        <v>15941.44824</v>
      </c>
      <c r="E130">
        <v>1.7554221489999999</v>
      </c>
      <c r="F130">
        <v>3741780000000</v>
      </c>
      <c r="G130">
        <v>521836000000</v>
      </c>
      <c r="H130">
        <v>341269000000</v>
      </c>
      <c r="I130">
        <v>3.7848547090000002</v>
      </c>
      <c r="J130">
        <v>74.07629498</v>
      </c>
      <c r="K130">
        <v>70.57878049</v>
      </c>
      <c r="L130">
        <v>9.5</v>
      </c>
      <c r="M130">
        <v>5.5129999999999999</v>
      </c>
      <c r="N130">
        <v>62.866</v>
      </c>
      <c r="O130">
        <v>3.6</v>
      </c>
      <c r="P130">
        <v>67.97</v>
      </c>
      <c r="Q130">
        <v>218300372</v>
      </c>
      <c r="R130">
        <v>2010</v>
      </c>
    </row>
    <row r="131" spans="1:18" x14ac:dyDescent="0.3">
      <c r="A131" t="s">
        <v>25</v>
      </c>
      <c r="B131">
        <v>2014</v>
      </c>
      <c r="C131">
        <v>2059240000000</v>
      </c>
      <c r="D131">
        <v>14055.472659999999</v>
      </c>
      <c r="E131">
        <v>0.73626722200000005</v>
      </c>
      <c r="F131">
        <v>3763530000000</v>
      </c>
      <c r="G131">
        <v>496807000000</v>
      </c>
      <c r="H131">
        <v>307877000000</v>
      </c>
      <c r="I131">
        <v>0.88732373399999998</v>
      </c>
      <c r="J131">
        <v>74.177647669999999</v>
      </c>
      <c r="K131">
        <v>70.743658539999998</v>
      </c>
      <c r="L131">
        <v>8.9</v>
      </c>
      <c r="M131">
        <v>5.2119999999999997</v>
      </c>
      <c r="N131">
        <v>62.837000000000003</v>
      </c>
      <c r="O131">
        <v>3.3</v>
      </c>
      <c r="P131">
        <v>70.517568260000004</v>
      </c>
      <c r="Q131">
        <v>221030353</v>
      </c>
      <c r="R131">
        <v>2010</v>
      </c>
    </row>
    <row r="132" spans="1:18" x14ac:dyDescent="0.3">
      <c r="A132" t="s">
        <v>25</v>
      </c>
      <c r="B132">
        <v>2015</v>
      </c>
      <c r="C132">
        <v>1363480000000</v>
      </c>
      <c r="D132">
        <v>9277.7138670000004</v>
      </c>
      <c r="E132">
        <v>-1.9727192259999999</v>
      </c>
      <c r="F132">
        <v>3526240000000</v>
      </c>
      <c r="G132">
        <v>341419000000</v>
      </c>
      <c r="H132">
        <v>193019000000</v>
      </c>
      <c r="I132">
        <v>-7.9685150010000001</v>
      </c>
      <c r="J132">
        <v>74.27591907</v>
      </c>
      <c r="K132">
        <v>71.183414630000001</v>
      </c>
      <c r="L132">
        <v>8.1999999999999993</v>
      </c>
      <c r="M132">
        <v>5.6150000000000002</v>
      </c>
      <c r="N132">
        <v>62.704000000000001</v>
      </c>
      <c r="O132">
        <v>3.2</v>
      </c>
      <c r="P132">
        <v>70.099241230000004</v>
      </c>
      <c r="Q132">
        <v>227288088</v>
      </c>
      <c r="R132">
        <v>2010</v>
      </c>
    </row>
    <row r="133" spans="1:18" x14ac:dyDescent="0.3">
      <c r="A133" t="s">
        <v>25</v>
      </c>
      <c r="B133">
        <v>2016</v>
      </c>
      <c r="C133">
        <v>1276790000000</v>
      </c>
      <c r="D133">
        <v>8663.1582030000009</v>
      </c>
      <c r="E133">
        <v>0.19369007099999999</v>
      </c>
      <c r="F133">
        <v>3538980000000</v>
      </c>
      <c r="G133">
        <v>281710000000</v>
      </c>
      <c r="H133">
        <v>191493000000</v>
      </c>
      <c r="I133">
        <v>-1.532379639</v>
      </c>
      <c r="J133">
        <v>74.370313870000004</v>
      </c>
      <c r="K133">
        <v>71.651219510000004</v>
      </c>
      <c r="L133">
        <v>7.5</v>
      </c>
      <c r="M133">
        <v>5.5910000000000002</v>
      </c>
      <c r="N133">
        <v>62.872</v>
      </c>
      <c r="O133">
        <v>3.4</v>
      </c>
      <c r="P133">
        <v>73.091434620000001</v>
      </c>
      <c r="Q133">
        <v>229126152</v>
      </c>
      <c r="R133">
        <v>2010</v>
      </c>
    </row>
    <row r="134" spans="1:18" x14ac:dyDescent="0.3">
      <c r="A134" t="s">
        <v>25</v>
      </c>
      <c r="B134">
        <v>2017</v>
      </c>
      <c r="C134">
        <v>1574200000000</v>
      </c>
      <c r="D134">
        <v>10658.91309</v>
      </c>
      <c r="E134">
        <v>1.825790064</v>
      </c>
      <c r="F134">
        <v>3807100000000</v>
      </c>
      <c r="G134">
        <v>352943000000</v>
      </c>
      <c r="H134">
        <v>238384000000</v>
      </c>
      <c r="I134">
        <v>3.4000830639999999</v>
      </c>
      <c r="J134">
        <v>74.460036810000005</v>
      </c>
      <c r="K134">
        <v>72.451463410000002</v>
      </c>
      <c r="L134">
        <v>6.9</v>
      </c>
      <c r="M134">
        <v>5.2380000000000004</v>
      </c>
      <c r="N134">
        <v>62.496000000000002</v>
      </c>
      <c r="O134">
        <v>3.2</v>
      </c>
      <c r="P134">
        <v>76.008138529999997</v>
      </c>
      <c r="Q134">
        <v>227299663</v>
      </c>
      <c r="R134">
        <v>2010</v>
      </c>
    </row>
    <row r="135" spans="1:18" x14ac:dyDescent="0.3">
      <c r="A135" t="s">
        <v>25</v>
      </c>
      <c r="B135">
        <v>2018</v>
      </c>
      <c r="C135">
        <v>1657330000000</v>
      </c>
      <c r="D135">
        <v>11211.887699999999</v>
      </c>
      <c r="E135">
        <v>2.8072454109999998</v>
      </c>
      <c r="F135">
        <v>4231840000000</v>
      </c>
      <c r="G135">
        <v>443914000000</v>
      </c>
      <c r="H135">
        <v>248856000000</v>
      </c>
      <c r="I135">
        <v>3.4646954220000001</v>
      </c>
      <c r="J135">
        <v>74.544292609999999</v>
      </c>
      <c r="K135">
        <v>72.662195120000007</v>
      </c>
      <c r="L135">
        <v>6.4</v>
      </c>
      <c r="M135">
        <v>4.8710000000000004</v>
      </c>
      <c r="N135">
        <v>62.445</v>
      </c>
      <c r="O135">
        <v>3.2</v>
      </c>
      <c r="P135">
        <v>80.864721869999997</v>
      </c>
      <c r="Q135">
        <v>229431008</v>
      </c>
      <c r="R135">
        <v>2010</v>
      </c>
    </row>
    <row r="136" spans="1:18" x14ac:dyDescent="0.3">
      <c r="A136" t="s">
        <v>25</v>
      </c>
      <c r="B136">
        <v>2019</v>
      </c>
      <c r="C136">
        <v>1693120000000</v>
      </c>
      <c r="D136">
        <v>11447.70117</v>
      </c>
      <c r="E136">
        <v>2.1980757130000002</v>
      </c>
      <c r="F136">
        <v>4579550000000</v>
      </c>
      <c r="G136">
        <v>419721000000</v>
      </c>
      <c r="H136">
        <v>253876000000</v>
      </c>
      <c r="I136">
        <v>3.3896205720000001</v>
      </c>
      <c r="J136">
        <v>74.622286000000003</v>
      </c>
      <c r="K136">
        <v>73.083902440000003</v>
      </c>
      <c r="L136">
        <v>6</v>
      </c>
      <c r="M136">
        <v>4.5129999999999999</v>
      </c>
      <c r="N136">
        <v>61.698</v>
      </c>
      <c r="O136">
        <v>3.2</v>
      </c>
      <c r="P136">
        <v>82.642161869999995</v>
      </c>
      <c r="Q136">
        <v>239795946</v>
      </c>
      <c r="R136">
        <v>2010</v>
      </c>
    </row>
    <row r="137" spans="1:18" x14ac:dyDescent="0.3">
      <c r="A137" t="s">
        <v>25</v>
      </c>
      <c r="B137">
        <v>2020</v>
      </c>
      <c r="C137">
        <v>1493080000000</v>
      </c>
      <c r="D137">
        <v>10108.327149999999</v>
      </c>
      <c r="E137">
        <v>-2.6536545010000001</v>
      </c>
      <c r="F137">
        <v>4651430000000</v>
      </c>
      <c r="G137">
        <v>333530000000</v>
      </c>
      <c r="H137">
        <v>240088000000</v>
      </c>
      <c r="I137">
        <v>-3.9324254810000001</v>
      </c>
      <c r="J137">
        <v>74.693221679999994</v>
      </c>
      <c r="K137">
        <v>71.338780490000005</v>
      </c>
      <c r="L137">
        <v>5.7</v>
      </c>
      <c r="M137">
        <v>5.62</v>
      </c>
      <c r="N137">
        <v>61.389000000000003</v>
      </c>
      <c r="O137">
        <v>3.7</v>
      </c>
      <c r="P137">
        <v>84.994669779999995</v>
      </c>
      <c r="Q137">
        <v>238733217</v>
      </c>
      <c r="R137">
        <v>2020</v>
      </c>
    </row>
    <row r="138" spans="1:18" x14ac:dyDescent="0.3">
      <c r="A138" t="s">
        <v>25</v>
      </c>
      <c r="B138">
        <v>2021</v>
      </c>
      <c r="C138">
        <v>1829190000000</v>
      </c>
      <c r="D138">
        <v>12425.0293</v>
      </c>
      <c r="E138">
        <v>5.8664917729999999</v>
      </c>
      <c r="F138">
        <v>5688270000000</v>
      </c>
      <c r="G138">
        <v>494161000000</v>
      </c>
      <c r="H138">
        <v>301046000000</v>
      </c>
      <c r="I138">
        <v>8.0880992200000001</v>
      </c>
      <c r="J138">
        <v>74.751684019999999</v>
      </c>
      <c r="K138">
        <v>69.900243900000007</v>
      </c>
      <c r="L138">
        <v>5.5</v>
      </c>
      <c r="M138">
        <v>4.7489999999999997</v>
      </c>
      <c r="N138">
        <v>61.966000000000001</v>
      </c>
      <c r="O138">
        <v>3.5</v>
      </c>
      <c r="P138">
        <v>88.21384578</v>
      </c>
      <c r="Q138">
        <v>246569033</v>
      </c>
      <c r="R138">
        <v>2020</v>
      </c>
    </row>
    <row r="139" spans="1:18" x14ac:dyDescent="0.3">
      <c r="A139" t="s">
        <v>25</v>
      </c>
      <c r="B139">
        <v>2022</v>
      </c>
      <c r="C139">
        <v>2291610000000</v>
      </c>
      <c r="D139">
        <v>15619.61426</v>
      </c>
      <c r="E139">
        <v>-1.4358821390000001</v>
      </c>
      <c r="F139">
        <v>6006310000000</v>
      </c>
      <c r="G139">
        <v>592075000000</v>
      </c>
      <c r="H139">
        <v>276511000000</v>
      </c>
      <c r="I139">
        <v>-0.35686839599999998</v>
      </c>
      <c r="J139">
        <v>74.854489360000002</v>
      </c>
      <c r="K139">
        <v>72.545609760000005</v>
      </c>
      <c r="L139">
        <v>5.4</v>
      </c>
      <c r="M139">
        <v>3.867</v>
      </c>
      <c r="N139">
        <v>61.936</v>
      </c>
      <c r="O139">
        <v>3.5</v>
      </c>
      <c r="P139">
        <v>90.417991630000003</v>
      </c>
      <c r="Q139">
        <v>245266945</v>
      </c>
      <c r="R139">
        <v>2020</v>
      </c>
    </row>
    <row r="140" spans="1:18" x14ac:dyDescent="0.3">
      <c r="A140" t="s">
        <v>25</v>
      </c>
      <c r="B140">
        <v>2023</v>
      </c>
      <c r="C140">
        <v>2071510000000</v>
      </c>
      <c r="D140">
        <v>14159.387699999999</v>
      </c>
      <c r="E140">
        <v>4.082524813</v>
      </c>
      <c r="F140">
        <v>6476480000000</v>
      </c>
      <c r="G140">
        <v>424749000000</v>
      </c>
      <c r="H140">
        <v>303086000000</v>
      </c>
      <c r="I140">
        <v>6.5</v>
      </c>
      <c r="J140">
        <v>74.980504789999998</v>
      </c>
      <c r="K140">
        <v>73.254634150000001</v>
      </c>
      <c r="L140">
        <v>5.3</v>
      </c>
      <c r="M140">
        <v>3.0760000000000001</v>
      </c>
      <c r="N140">
        <v>62.134999999999998</v>
      </c>
      <c r="O140">
        <v>3.5</v>
      </c>
      <c r="P140">
        <v>92.244963459999994</v>
      </c>
      <c r="Q140">
        <v>263017184</v>
      </c>
      <c r="R140">
        <v>2020</v>
      </c>
    </row>
    <row r="141" spans="1:18" x14ac:dyDescent="0.3">
      <c r="A141" t="s">
        <v>25</v>
      </c>
      <c r="B141">
        <v>2024</v>
      </c>
      <c r="C141">
        <v>2173840000000</v>
      </c>
      <c r="D141">
        <v>14889.018550000001</v>
      </c>
      <c r="E141">
        <v>4.3443747549999996</v>
      </c>
      <c r="F141">
        <v>6921250000000</v>
      </c>
      <c r="G141">
        <v>433092000000</v>
      </c>
      <c r="H141">
        <v>300124000000</v>
      </c>
      <c r="I141">
        <v>5.2</v>
      </c>
      <c r="J141">
        <v>75.111913619999996</v>
      </c>
      <c r="K141">
        <v>73.4404878</v>
      </c>
      <c r="L141">
        <v>5.2</v>
      </c>
      <c r="M141">
        <v>2.4300000000000002</v>
      </c>
      <c r="N141">
        <v>61.823999999999998</v>
      </c>
      <c r="O141">
        <v>3.5</v>
      </c>
      <c r="P141">
        <v>94.364953679999999</v>
      </c>
      <c r="Q141">
        <v>269516292</v>
      </c>
      <c r="R141">
        <v>2020</v>
      </c>
    </row>
    <row r="142" spans="1:18" x14ac:dyDescent="0.3">
      <c r="A142" t="s">
        <v>26</v>
      </c>
      <c r="B142">
        <v>1990</v>
      </c>
      <c r="C142">
        <v>126048000000</v>
      </c>
      <c r="D142">
        <v>3093.489204</v>
      </c>
      <c r="E142">
        <v>-0.31776042700000001</v>
      </c>
      <c r="F142">
        <v>260029000000</v>
      </c>
      <c r="G142">
        <v>23549000000</v>
      </c>
      <c r="H142">
        <v>18399000000</v>
      </c>
      <c r="I142">
        <v>2.7106876600000001</v>
      </c>
      <c r="J142">
        <v>51.967990829999998</v>
      </c>
      <c r="K142">
        <v>62.942</v>
      </c>
      <c r="L142">
        <v>58.1</v>
      </c>
      <c r="M142">
        <v>23.137</v>
      </c>
      <c r="N142">
        <v>58.094999999999999</v>
      </c>
      <c r="O142">
        <v>16.600000000000001</v>
      </c>
      <c r="P142">
        <v>0</v>
      </c>
      <c r="Q142">
        <v>5680</v>
      </c>
      <c r="R142">
        <v>1990</v>
      </c>
    </row>
    <row r="143" spans="1:18" x14ac:dyDescent="0.3">
      <c r="A143" t="s">
        <v>26</v>
      </c>
      <c r="B143">
        <v>1991</v>
      </c>
      <c r="C143">
        <v>135204000000</v>
      </c>
      <c r="D143">
        <v>3243.2361599999999</v>
      </c>
      <c r="E143">
        <v>-1.0182449680000001</v>
      </c>
      <c r="F143">
        <v>266086000000</v>
      </c>
      <c r="G143">
        <v>23279000000</v>
      </c>
      <c r="H143">
        <v>18829000000</v>
      </c>
      <c r="I143">
        <v>0.21937789499999999</v>
      </c>
      <c r="J143">
        <v>52.400001529999997</v>
      </c>
      <c r="K143">
        <v>62.982999999999997</v>
      </c>
      <c r="L143">
        <v>56.8</v>
      </c>
      <c r="M143">
        <v>23.137</v>
      </c>
      <c r="N143">
        <v>58.033000000000001</v>
      </c>
      <c r="O143">
        <v>17.5</v>
      </c>
      <c r="P143">
        <v>1.3299999999999999E-2</v>
      </c>
      <c r="Q143">
        <v>7100</v>
      </c>
      <c r="R143">
        <v>1990</v>
      </c>
    </row>
    <row r="144" spans="1:18" x14ac:dyDescent="0.3">
      <c r="A144" t="s">
        <v>26</v>
      </c>
      <c r="B144">
        <v>1992</v>
      </c>
      <c r="C144">
        <v>146956000000</v>
      </c>
      <c r="D144">
        <v>3462.394002</v>
      </c>
      <c r="E144">
        <v>-2.1370328449999998</v>
      </c>
      <c r="F144">
        <v>266334000000</v>
      </c>
      <c r="G144">
        <v>23440000000</v>
      </c>
      <c r="H144">
        <v>19738000000</v>
      </c>
      <c r="I144">
        <v>-0.53343027300000001</v>
      </c>
      <c r="J144">
        <v>52.680509489999999</v>
      </c>
      <c r="K144">
        <v>62.838999999999999</v>
      </c>
      <c r="L144">
        <v>56.2</v>
      </c>
      <c r="M144">
        <v>23.463000000000001</v>
      </c>
      <c r="N144">
        <v>58.046999999999997</v>
      </c>
      <c r="O144">
        <v>18.399999999999999</v>
      </c>
      <c r="P144">
        <v>3.8899999999999997E-2</v>
      </c>
      <c r="Q144">
        <v>12510</v>
      </c>
      <c r="R144">
        <v>1990</v>
      </c>
    </row>
    <row r="145" spans="1:18" x14ac:dyDescent="0.3">
      <c r="A145" t="s">
        <v>26</v>
      </c>
      <c r="B145">
        <v>1993</v>
      </c>
      <c r="C145">
        <v>147195000000</v>
      </c>
      <c r="D145">
        <v>3399.6400960000001</v>
      </c>
      <c r="E145">
        <v>1.233557939</v>
      </c>
      <c r="F145">
        <v>276010000000</v>
      </c>
      <c r="G145">
        <v>24222000000</v>
      </c>
      <c r="H145">
        <v>19991000000</v>
      </c>
      <c r="I145">
        <v>1.6916339279999999</v>
      </c>
      <c r="J145">
        <v>52.893505040000001</v>
      </c>
      <c r="K145">
        <v>62.618000000000002</v>
      </c>
      <c r="L145">
        <v>56.6</v>
      </c>
      <c r="M145">
        <v>23.361000000000001</v>
      </c>
      <c r="N145">
        <v>57.954999999999998</v>
      </c>
      <c r="O145">
        <v>18.600000000000001</v>
      </c>
      <c r="P145">
        <v>0.114</v>
      </c>
      <c r="Q145">
        <v>40000</v>
      </c>
      <c r="R145">
        <v>1990</v>
      </c>
    </row>
    <row r="146" spans="1:18" x14ac:dyDescent="0.3">
      <c r="A146" t="s">
        <v>26</v>
      </c>
      <c r="B146">
        <v>1994</v>
      </c>
      <c r="C146">
        <v>153513000000</v>
      </c>
      <c r="D146">
        <v>3488.597115</v>
      </c>
      <c r="E146">
        <v>3.200000003</v>
      </c>
      <c r="F146">
        <v>290924000000</v>
      </c>
      <c r="G146">
        <v>25308000000</v>
      </c>
      <c r="H146">
        <v>23363000000</v>
      </c>
      <c r="I146">
        <v>3.1254707869999998</v>
      </c>
      <c r="J146">
        <v>53.083802609999999</v>
      </c>
      <c r="K146">
        <v>62.069000000000003</v>
      </c>
      <c r="L146">
        <v>57.8</v>
      </c>
      <c r="M146">
        <v>23.067</v>
      </c>
      <c r="N146">
        <v>57.936</v>
      </c>
      <c r="O146">
        <v>18.600000000000001</v>
      </c>
      <c r="P146">
        <v>0.247</v>
      </c>
      <c r="Q146">
        <v>340000</v>
      </c>
      <c r="R146">
        <v>1990</v>
      </c>
    </row>
    <row r="147" spans="1:18" x14ac:dyDescent="0.3">
      <c r="A147" t="s">
        <v>26</v>
      </c>
      <c r="B147">
        <v>1995</v>
      </c>
      <c r="C147">
        <v>171736000000</v>
      </c>
      <c r="D147">
        <v>3855.6340869999999</v>
      </c>
      <c r="E147">
        <v>3.1000000010000002</v>
      </c>
      <c r="F147">
        <v>306232000000</v>
      </c>
      <c r="G147">
        <v>27853000000</v>
      </c>
      <c r="H147">
        <v>30546000000</v>
      </c>
      <c r="I147">
        <v>2.7099332789999999</v>
      </c>
      <c r="J147">
        <v>53.296216620000003</v>
      </c>
      <c r="K147">
        <v>61.603000000000002</v>
      </c>
      <c r="L147">
        <v>59.2</v>
      </c>
      <c r="M147">
        <v>22.704999999999998</v>
      </c>
      <c r="N147">
        <v>58.024000000000001</v>
      </c>
      <c r="O147">
        <v>18.100000000000001</v>
      </c>
      <c r="P147">
        <v>0.67700000000000005</v>
      </c>
      <c r="Q147">
        <v>535000</v>
      </c>
      <c r="R147">
        <v>1990</v>
      </c>
    </row>
    <row r="148" spans="1:18" x14ac:dyDescent="0.3">
      <c r="A148" t="s">
        <v>26</v>
      </c>
      <c r="B148">
        <v>1996</v>
      </c>
      <c r="C148">
        <v>163235000000</v>
      </c>
      <c r="D148">
        <v>3617.5533599999999</v>
      </c>
      <c r="E148">
        <v>4.2999999969999996</v>
      </c>
      <c r="F148">
        <v>325247000000</v>
      </c>
      <c r="G148">
        <v>29221000000</v>
      </c>
      <c r="H148">
        <v>30182000000</v>
      </c>
      <c r="I148">
        <v>4.3073772679999998</v>
      </c>
      <c r="J148">
        <v>53.574919149999999</v>
      </c>
      <c r="K148">
        <v>61.079000000000001</v>
      </c>
      <c r="L148">
        <v>60.9</v>
      </c>
      <c r="M148">
        <v>22.5</v>
      </c>
      <c r="N148">
        <v>58.036999999999999</v>
      </c>
      <c r="O148">
        <v>17.399999999999999</v>
      </c>
      <c r="P148">
        <v>0.84199999999999997</v>
      </c>
      <c r="Q148">
        <v>953000</v>
      </c>
      <c r="R148">
        <v>1990</v>
      </c>
    </row>
    <row r="149" spans="1:18" x14ac:dyDescent="0.3">
      <c r="A149" t="s">
        <v>26</v>
      </c>
      <c r="B149">
        <v>1997</v>
      </c>
      <c r="C149">
        <v>168978000000</v>
      </c>
      <c r="D149">
        <v>3700.2355480000001</v>
      </c>
      <c r="E149">
        <v>2.6000000010000002</v>
      </c>
      <c r="F149">
        <v>339458000000</v>
      </c>
      <c r="G149">
        <v>31027000000</v>
      </c>
      <c r="H149">
        <v>32998000000</v>
      </c>
      <c r="I149">
        <v>2.9822809819999998</v>
      </c>
      <c r="J149">
        <v>54.004016300000004</v>
      </c>
      <c r="K149">
        <v>60.537999999999997</v>
      </c>
      <c r="L149">
        <v>62.9</v>
      </c>
      <c r="M149">
        <v>22.548999999999999</v>
      </c>
      <c r="N149">
        <v>57.953000000000003</v>
      </c>
      <c r="O149">
        <v>17.100000000000001</v>
      </c>
      <c r="P149">
        <v>1.63</v>
      </c>
      <c r="Q149">
        <v>1836000</v>
      </c>
      <c r="R149">
        <v>1990</v>
      </c>
    </row>
    <row r="150" spans="1:18" x14ac:dyDescent="0.3">
      <c r="A150" t="s">
        <v>26</v>
      </c>
      <c r="B150">
        <v>1998</v>
      </c>
      <c r="C150">
        <v>152983000000</v>
      </c>
      <c r="D150">
        <v>3309.6093310000001</v>
      </c>
      <c r="E150">
        <v>0.5</v>
      </c>
      <c r="F150">
        <v>344989000000</v>
      </c>
      <c r="G150">
        <v>26362000000</v>
      </c>
      <c r="H150">
        <v>29242000000</v>
      </c>
      <c r="I150">
        <v>0.77782294500000004</v>
      </c>
      <c r="J150">
        <v>54.656243830000001</v>
      </c>
      <c r="K150">
        <v>59.911999999999999</v>
      </c>
      <c r="L150">
        <v>65.8</v>
      </c>
      <c r="M150">
        <v>22.739000000000001</v>
      </c>
      <c r="N150">
        <v>57.741999999999997</v>
      </c>
      <c r="O150">
        <v>17.3</v>
      </c>
      <c r="P150">
        <v>2.91</v>
      </c>
      <c r="Q150">
        <v>3337000</v>
      </c>
      <c r="R150">
        <v>1990</v>
      </c>
    </row>
    <row r="151" spans="1:18" x14ac:dyDescent="0.3">
      <c r="A151" t="s">
        <v>26</v>
      </c>
      <c r="B151">
        <v>1999</v>
      </c>
      <c r="C151">
        <v>151517000000</v>
      </c>
      <c r="D151">
        <v>3242.368305</v>
      </c>
      <c r="E151">
        <v>2.3999999970000001</v>
      </c>
      <c r="F151">
        <v>358268000000</v>
      </c>
      <c r="G151">
        <v>26707000000</v>
      </c>
      <c r="H151">
        <v>26696000000</v>
      </c>
      <c r="I151">
        <v>1.429919068</v>
      </c>
      <c r="J151">
        <v>55.44085218</v>
      </c>
      <c r="K151">
        <v>59.19</v>
      </c>
      <c r="L151">
        <v>68.7</v>
      </c>
      <c r="M151">
        <v>22.884</v>
      </c>
      <c r="N151">
        <v>57.509</v>
      </c>
      <c r="O151">
        <v>17.7</v>
      </c>
      <c r="P151">
        <v>4.12</v>
      </c>
      <c r="Q151">
        <v>5188000</v>
      </c>
      <c r="R151">
        <v>1990</v>
      </c>
    </row>
    <row r="152" spans="1:18" x14ac:dyDescent="0.3">
      <c r="A152" t="s">
        <v>26</v>
      </c>
      <c r="B152">
        <v>2000</v>
      </c>
      <c r="C152">
        <v>151753000000</v>
      </c>
      <c r="D152">
        <v>3217.8469340000001</v>
      </c>
      <c r="E152">
        <v>4.2000000010000003</v>
      </c>
      <c r="F152">
        <v>381772000000</v>
      </c>
      <c r="G152">
        <v>29983000000</v>
      </c>
      <c r="H152">
        <v>29695000000</v>
      </c>
      <c r="I152">
        <v>3.8553094919999999</v>
      </c>
      <c r="J152">
        <v>56.258995489999997</v>
      </c>
      <c r="K152">
        <v>58.368000000000002</v>
      </c>
      <c r="L152">
        <v>71.400000000000006</v>
      </c>
      <c r="M152">
        <v>22.788</v>
      </c>
      <c r="N152">
        <v>57.262999999999998</v>
      </c>
      <c r="O152">
        <v>16.2</v>
      </c>
      <c r="P152">
        <v>5.348559732</v>
      </c>
      <c r="Q152">
        <v>8339000</v>
      </c>
      <c r="R152">
        <v>2000</v>
      </c>
    </row>
    <row r="153" spans="1:18" x14ac:dyDescent="0.3">
      <c r="A153" t="s">
        <v>26</v>
      </c>
      <c r="B153">
        <v>2001</v>
      </c>
      <c r="C153">
        <v>135430000000</v>
      </c>
      <c r="D153">
        <v>2847.1519189999999</v>
      </c>
      <c r="E153">
        <v>2.7</v>
      </c>
      <c r="F153">
        <v>400908000000</v>
      </c>
      <c r="G153">
        <v>29258000000</v>
      </c>
      <c r="H153">
        <v>28248000000</v>
      </c>
      <c r="I153">
        <v>3.4072330210000001</v>
      </c>
      <c r="J153">
        <v>57.001433939999998</v>
      </c>
      <c r="K153">
        <v>57.161000000000001</v>
      </c>
      <c r="L153">
        <v>74.5</v>
      </c>
      <c r="M153">
        <v>22.652000000000001</v>
      </c>
      <c r="N153">
        <v>57.006999999999998</v>
      </c>
      <c r="O153">
        <v>15</v>
      </c>
      <c r="P153">
        <v>6.3466193180000001</v>
      </c>
      <c r="Q153">
        <v>10787000</v>
      </c>
      <c r="R153">
        <v>2000</v>
      </c>
    </row>
    <row r="154" spans="1:18" x14ac:dyDescent="0.3">
      <c r="A154" t="s">
        <v>26</v>
      </c>
      <c r="B154">
        <v>2002</v>
      </c>
      <c r="C154">
        <v>129088000000</v>
      </c>
      <c r="D154">
        <v>2688.2367599999998</v>
      </c>
      <c r="E154">
        <v>3.7003744040000002</v>
      </c>
      <c r="F154">
        <v>422204000000</v>
      </c>
      <c r="G154">
        <v>29723000000</v>
      </c>
      <c r="H154">
        <v>29267000000</v>
      </c>
      <c r="I154">
        <v>3.4959249510000001</v>
      </c>
      <c r="J154">
        <v>57.672358750000001</v>
      </c>
      <c r="K154">
        <v>55.58</v>
      </c>
      <c r="L154">
        <v>77</v>
      </c>
      <c r="M154">
        <v>22.579000000000001</v>
      </c>
      <c r="N154">
        <v>56.747999999999998</v>
      </c>
      <c r="O154">
        <v>13.3</v>
      </c>
      <c r="P154">
        <v>6.7103224370000003</v>
      </c>
      <c r="Q154">
        <v>13702000</v>
      </c>
      <c r="R154">
        <v>2000</v>
      </c>
    </row>
    <row r="155" spans="1:18" x14ac:dyDescent="0.3">
      <c r="A155" t="s">
        <v>26</v>
      </c>
      <c r="B155">
        <v>2003</v>
      </c>
      <c r="C155">
        <v>197019000000</v>
      </c>
      <c r="D155">
        <v>4062.21756</v>
      </c>
      <c r="E155">
        <v>2.9490754680000002</v>
      </c>
      <c r="F155">
        <v>443236000000</v>
      </c>
      <c r="G155">
        <v>36482000000</v>
      </c>
      <c r="H155">
        <v>39748000000</v>
      </c>
      <c r="I155">
        <v>3.4905760400000001</v>
      </c>
      <c r="J155">
        <v>58.372434120000001</v>
      </c>
      <c r="K155">
        <v>54.244999999999997</v>
      </c>
      <c r="L155">
        <v>79.2</v>
      </c>
      <c r="M155">
        <v>22.678999999999998</v>
      </c>
      <c r="N155">
        <v>56.503999999999998</v>
      </c>
      <c r="O155">
        <v>11.8</v>
      </c>
      <c r="P155">
        <v>7.007691726</v>
      </c>
      <c r="Q155">
        <v>16860000</v>
      </c>
      <c r="R155">
        <v>2000</v>
      </c>
    </row>
    <row r="156" spans="1:18" x14ac:dyDescent="0.3">
      <c r="A156" t="s">
        <v>26</v>
      </c>
      <c r="B156">
        <v>2004</v>
      </c>
      <c r="C156">
        <v>255807000000</v>
      </c>
      <c r="D156">
        <v>5221.4633370000001</v>
      </c>
      <c r="E156">
        <v>4.5545599069999998</v>
      </c>
      <c r="F156">
        <v>475886000000</v>
      </c>
      <c r="G156">
        <v>46146000000</v>
      </c>
      <c r="H156">
        <v>53466000000</v>
      </c>
      <c r="I156">
        <v>6.0013330490000003</v>
      </c>
      <c r="J156">
        <v>59.097739099999998</v>
      </c>
      <c r="K156">
        <v>53.963000000000001</v>
      </c>
      <c r="L156">
        <v>80.7</v>
      </c>
      <c r="M156">
        <v>22.567</v>
      </c>
      <c r="N156">
        <v>56.295000000000002</v>
      </c>
      <c r="O156">
        <v>11</v>
      </c>
      <c r="P156">
        <v>8.4251186830000009</v>
      </c>
      <c r="Q156">
        <v>20839000</v>
      </c>
      <c r="R156">
        <v>2000</v>
      </c>
    </row>
    <row r="157" spans="1:18" x14ac:dyDescent="0.3">
      <c r="A157" t="s">
        <v>26</v>
      </c>
      <c r="B157">
        <v>2005</v>
      </c>
      <c r="C157">
        <v>288867000000</v>
      </c>
      <c r="D157">
        <v>5836.8766329999999</v>
      </c>
      <c r="E157">
        <v>5.2770519729999998</v>
      </c>
      <c r="F157">
        <v>516707000000</v>
      </c>
      <c r="G157">
        <v>51626000000</v>
      </c>
      <c r="H157">
        <v>62304000000</v>
      </c>
      <c r="I157">
        <v>4.9370380169999999</v>
      </c>
      <c r="J157">
        <v>59.824175840000002</v>
      </c>
      <c r="K157">
        <v>53.914000000000001</v>
      </c>
      <c r="L157">
        <v>79.8</v>
      </c>
      <c r="M157">
        <v>22.472000000000001</v>
      </c>
      <c r="N157">
        <v>56.128999999999998</v>
      </c>
      <c r="O157">
        <v>9.6999999999999993</v>
      </c>
      <c r="P157">
        <v>7.4885425300000001</v>
      </c>
      <c r="Q157">
        <v>33959958</v>
      </c>
      <c r="R157">
        <v>2000</v>
      </c>
    </row>
    <row r="158" spans="1:18" x14ac:dyDescent="0.3">
      <c r="A158" t="s">
        <v>26</v>
      </c>
      <c r="B158">
        <v>2006</v>
      </c>
      <c r="C158">
        <v>303859000000</v>
      </c>
      <c r="D158">
        <v>6077.3829340000002</v>
      </c>
      <c r="E158">
        <v>5.6038064590000003</v>
      </c>
      <c r="F158">
        <v>562490000000</v>
      </c>
      <c r="G158">
        <v>58175000000</v>
      </c>
      <c r="H158">
        <v>78715000000</v>
      </c>
      <c r="I158">
        <v>7.6342517790000004</v>
      </c>
      <c r="J158">
        <v>60.527646519999998</v>
      </c>
      <c r="K158">
        <v>54.22</v>
      </c>
      <c r="L158">
        <v>76.900000000000006</v>
      </c>
      <c r="M158">
        <v>22.303999999999998</v>
      </c>
      <c r="N158">
        <v>55.994</v>
      </c>
      <c r="O158">
        <v>9.3000000000000007</v>
      </c>
      <c r="P158">
        <v>7.607139675</v>
      </c>
      <c r="Q158">
        <v>39662000</v>
      </c>
      <c r="R158">
        <v>2000</v>
      </c>
    </row>
    <row r="159" spans="1:18" x14ac:dyDescent="0.3">
      <c r="A159" t="s">
        <v>26</v>
      </c>
      <c r="B159">
        <v>2007</v>
      </c>
      <c r="C159">
        <v>333077000000</v>
      </c>
      <c r="D159">
        <v>6591.8553599999996</v>
      </c>
      <c r="E159">
        <v>5.360474054</v>
      </c>
      <c r="F159">
        <v>608698000000</v>
      </c>
      <c r="G159">
        <v>69784000000</v>
      </c>
      <c r="H159">
        <v>88450000000</v>
      </c>
      <c r="I159">
        <v>6.4489785289999997</v>
      </c>
      <c r="J159">
        <v>61.184053319999997</v>
      </c>
      <c r="K159">
        <v>54.948</v>
      </c>
      <c r="L159">
        <v>71.2</v>
      </c>
      <c r="M159">
        <v>22.26</v>
      </c>
      <c r="N159">
        <v>55.877000000000002</v>
      </c>
      <c r="O159">
        <v>8.6999999999999993</v>
      </c>
      <c r="P159">
        <v>8.0653751739999997</v>
      </c>
      <c r="Q159">
        <v>42300000</v>
      </c>
      <c r="R159">
        <v>2000</v>
      </c>
    </row>
    <row r="160" spans="1:18" x14ac:dyDescent="0.3">
      <c r="A160" t="s">
        <v>26</v>
      </c>
      <c r="B160">
        <v>2008</v>
      </c>
      <c r="C160">
        <v>316131000000</v>
      </c>
      <c r="D160">
        <v>6184.7547430000004</v>
      </c>
      <c r="E160">
        <v>3.1910438860000001</v>
      </c>
      <c r="F160">
        <v>640224000000</v>
      </c>
      <c r="G160">
        <v>80782000000</v>
      </c>
      <c r="H160">
        <v>101640000000</v>
      </c>
      <c r="I160">
        <v>2.6277776359999998</v>
      </c>
      <c r="J160">
        <v>61.769298390000003</v>
      </c>
      <c r="K160">
        <v>55.981999999999999</v>
      </c>
      <c r="L160">
        <v>63.7</v>
      </c>
      <c r="M160">
        <v>22.407</v>
      </c>
      <c r="N160">
        <v>55.786000000000001</v>
      </c>
      <c r="O160">
        <v>9.6999999999999993</v>
      </c>
      <c r="P160">
        <v>8.43</v>
      </c>
      <c r="Q160">
        <v>45000000</v>
      </c>
      <c r="R160">
        <v>2000</v>
      </c>
    </row>
    <row r="161" spans="1:18" x14ac:dyDescent="0.3">
      <c r="A161" t="s">
        <v>26</v>
      </c>
      <c r="B161">
        <v>2009</v>
      </c>
      <c r="C161">
        <v>329754000000</v>
      </c>
      <c r="D161">
        <v>6374.7056000000002</v>
      </c>
      <c r="E161">
        <v>-1.5380891350000001</v>
      </c>
      <c r="F161">
        <v>634265000000</v>
      </c>
      <c r="G161">
        <v>61677000000</v>
      </c>
      <c r="H161">
        <v>74054000000</v>
      </c>
      <c r="I161">
        <v>-1.588528967</v>
      </c>
      <c r="J161">
        <v>62.259283910000001</v>
      </c>
      <c r="K161">
        <v>57.412999999999997</v>
      </c>
      <c r="L161">
        <v>56.9</v>
      </c>
      <c r="M161">
        <v>23.523</v>
      </c>
      <c r="N161">
        <v>53.956000000000003</v>
      </c>
      <c r="O161">
        <v>9.1999999999999993</v>
      </c>
      <c r="P161">
        <v>10</v>
      </c>
      <c r="Q161">
        <v>46436000</v>
      </c>
      <c r="R161">
        <v>2000</v>
      </c>
    </row>
    <row r="162" spans="1:18" x14ac:dyDescent="0.3">
      <c r="A162" t="s">
        <v>26</v>
      </c>
      <c r="B162">
        <v>2010</v>
      </c>
      <c r="C162">
        <v>417364000000</v>
      </c>
      <c r="D162">
        <v>7973.4719580000001</v>
      </c>
      <c r="E162">
        <v>3.0397328809999999</v>
      </c>
      <c r="F162">
        <v>661487000000</v>
      </c>
      <c r="G162">
        <v>91347000000</v>
      </c>
      <c r="H162">
        <v>96835000000</v>
      </c>
      <c r="I162">
        <v>4.2669466759999999</v>
      </c>
      <c r="J162">
        <v>62.629912060000002</v>
      </c>
      <c r="K162">
        <v>58.886000000000003</v>
      </c>
      <c r="L162">
        <v>50.3</v>
      </c>
      <c r="M162">
        <v>24.683</v>
      </c>
      <c r="N162">
        <v>52.265000000000001</v>
      </c>
      <c r="O162">
        <v>9.4</v>
      </c>
      <c r="P162">
        <v>24</v>
      </c>
      <c r="Q162">
        <v>50372000</v>
      </c>
      <c r="R162">
        <v>2010</v>
      </c>
    </row>
    <row r="163" spans="1:18" x14ac:dyDescent="0.3">
      <c r="A163" t="s">
        <v>26</v>
      </c>
      <c r="B163">
        <v>2011</v>
      </c>
      <c r="C163">
        <v>458199000000</v>
      </c>
      <c r="D163">
        <v>8646.0557110000009</v>
      </c>
      <c r="E163">
        <v>3.1685562790000001</v>
      </c>
      <c r="F163">
        <v>696526000000</v>
      </c>
      <c r="G163">
        <v>108815000000</v>
      </c>
      <c r="H163">
        <v>124430000000</v>
      </c>
      <c r="I163">
        <v>4.0604074050000003</v>
      </c>
      <c r="J163">
        <v>62.850627750000001</v>
      </c>
      <c r="K163">
        <v>60.601999999999997</v>
      </c>
      <c r="L163">
        <v>45.6</v>
      </c>
      <c r="M163">
        <v>24.638999999999999</v>
      </c>
      <c r="N163">
        <v>52.170999999999999</v>
      </c>
      <c r="O163">
        <v>9</v>
      </c>
      <c r="P163">
        <v>33.97</v>
      </c>
      <c r="Q163">
        <v>64000000</v>
      </c>
      <c r="R163">
        <v>2010</v>
      </c>
    </row>
    <row r="164" spans="1:18" x14ac:dyDescent="0.3">
      <c r="A164" t="s">
        <v>26</v>
      </c>
      <c r="B164">
        <v>2012</v>
      </c>
      <c r="C164">
        <v>434401000000</v>
      </c>
      <c r="D164">
        <v>8076.9767849999998</v>
      </c>
      <c r="E164">
        <v>2.3962323849999998</v>
      </c>
      <c r="F164">
        <v>698463000000</v>
      </c>
      <c r="G164">
        <v>99606000000</v>
      </c>
      <c r="H164">
        <v>127154000000</v>
      </c>
      <c r="I164">
        <v>3.5821417059999998</v>
      </c>
      <c r="J164">
        <v>62.96165603</v>
      </c>
      <c r="K164">
        <v>61.737000000000002</v>
      </c>
      <c r="L164">
        <v>43.1</v>
      </c>
      <c r="M164">
        <v>24.727</v>
      </c>
      <c r="N164">
        <v>52.506999999999998</v>
      </c>
      <c r="O164">
        <v>8.3000000000000007</v>
      </c>
      <c r="P164">
        <v>41</v>
      </c>
      <c r="Q164">
        <v>68394000</v>
      </c>
      <c r="R164">
        <v>2010</v>
      </c>
    </row>
    <row r="165" spans="1:18" x14ac:dyDescent="0.3">
      <c r="A165" t="s">
        <v>26</v>
      </c>
      <c r="B165">
        <v>2013</v>
      </c>
      <c r="C165">
        <v>400886000000</v>
      </c>
      <c r="D165">
        <v>7331.6546740000003</v>
      </c>
      <c r="E165">
        <v>2.4854680079999998</v>
      </c>
      <c r="F165">
        <v>731025000000</v>
      </c>
      <c r="G165">
        <v>96153000000</v>
      </c>
      <c r="H165">
        <v>126330000000</v>
      </c>
      <c r="I165">
        <v>1.92194719</v>
      </c>
      <c r="J165">
        <v>63.052402409999999</v>
      </c>
      <c r="K165">
        <v>62.387999999999998</v>
      </c>
      <c r="L165">
        <v>41.4</v>
      </c>
      <c r="M165">
        <v>24.561</v>
      </c>
      <c r="N165">
        <v>53.078000000000003</v>
      </c>
      <c r="O165">
        <v>7.8</v>
      </c>
      <c r="P165">
        <v>46.5</v>
      </c>
      <c r="Q165">
        <v>76865278</v>
      </c>
      <c r="R165">
        <v>2010</v>
      </c>
    </row>
    <row r="166" spans="1:18" x14ac:dyDescent="0.3">
      <c r="A166" t="s">
        <v>26</v>
      </c>
      <c r="B166">
        <v>2014</v>
      </c>
      <c r="C166">
        <v>381199000000</v>
      </c>
      <c r="D166">
        <v>6856.7313709999999</v>
      </c>
      <c r="E166">
        <v>1.4138264519999999</v>
      </c>
      <c r="F166">
        <v>742688000000</v>
      </c>
      <c r="G166">
        <v>93043000000</v>
      </c>
      <c r="H166">
        <v>121950000000</v>
      </c>
      <c r="I166">
        <v>1.0011869250000001</v>
      </c>
      <c r="J166">
        <v>63.135232709999997</v>
      </c>
      <c r="K166">
        <v>63.183999999999997</v>
      </c>
      <c r="L166">
        <v>39.700000000000003</v>
      </c>
      <c r="M166">
        <v>24.89</v>
      </c>
      <c r="N166">
        <v>53.314</v>
      </c>
      <c r="O166">
        <v>7.6</v>
      </c>
      <c r="P166">
        <v>49</v>
      </c>
      <c r="Q166">
        <v>79280731</v>
      </c>
      <c r="R166">
        <v>2010</v>
      </c>
    </row>
    <row r="167" spans="1:18" x14ac:dyDescent="0.3">
      <c r="A167" t="s">
        <v>26</v>
      </c>
      <c r="B167">
        <v>2015</v>
      </c>
      <c r="C167">
        <v>346710000000</v>
      </c>
      <c r="D167">
        <v>6112.2738250000002</v>
      </c>
      <c r="E167">
        <v>1.3218622369999999</v>
      </c>
      <c r="F167">
        <v>759955000000</v>
      </c>
      <c r="G167">
        <v>81002000000</v>
      </c>
      <c r="H167">
        <v>104651000000</v>
      </c>
      <c r="I167">
        <v>1.424151194</v>
      </c>
      <c r="J167">
        <v>63.209634989999998</v>
      </c>
      <c r="K167">
        <v>64.052999999999997</v>
      </c>
      <c r="L167">
        <v>38.200000000000003</v>
      </c>
      <c r="M167">
        <v>25.149000000000001</v>
      </c>
      <c r="N167">
        <v>54.591000000000001</v>
      </c>
      <c r="O167">
        <v>7.6</v>
      </c>
      <c r="P167">
        <v>51.91910172</v>
      </c>
      <c r="Q167">
        <v>87999492</v>
      </c>
      <c r="R167">
        <v>2010</v>
      </c>
    </row>
    <row r="168" spans="1:18" x14ac:dyDescent="0.3">
      <c r="A168" t="s">
        <v>26</v>
      </c>
      <c r="B168">
        <v>2016</v>
      </c>
      <c r="C168">
        <v>323586000000</v>
      </c>
      <c r="D168">
        <v>5651.205852</v>
      </c>
      <c r="E168">
        <v>0.66455230799999998</v>
      </c>
      <c r="F168">
        <v>774110000000</v>
      </c>
      <c r="G168">
        <v>76214000000</v>
      </c>
      <c r="H168">
        <v>91692000000</v>
      </c>
      <c r="I168">
        <v>0.98912052699999997</v>
      </c>
      <c r="J168">
        <v>63.275097340000002</v>
      </c>
      <c r="K168">
        <v>64.748999999999995</v>
      </c>
      <c r="L168">
        <v>36.799999999999997</v>
      </c>
      <c r="M168">
        <v>26.536000000000001</v>
      </c>
      <c r="N168">
        <v>54.713999999999999</v>
      </c>
      <c r="O168">
        <v>7.8</v>
      </c>
      <c r="P168">
        <v>54</v>
      </c>
      <c r="Q168">
        <v>82412880</v>
      </c>
      <c r="R168">
        <v>2010</v>
      </c>
    </row>
    <row r="169" spans="1:18" x14ac:dyDescent="0.3">
      <c r="A169" t="s">
        <v>26</v>
      </c>
      <c r="B169">
        <v>2017</v>
      </c>
      <c r="C169">
        <v>381449000000</v>
      </c>
      <c r="D169">
        <v>6618.3350829999999</v>
      </c>
      <c r="E169">
        <v>1.1579469520000001</v>
      </c>
      <c r="F169">
        <v>791817000000</v>
      </c>
      <c r="G169">
        <v>88947000000</v>
      </c>
      <c r="H169">
        <v>101576000000</v>
      </c>
      <c r="I169">
        <v>1.252008478</v>
      </c>
      <c r="J169">
        <v>63.331107830000001</v>
      </c>
      <c r="K169">
        <v>65.421999999999997</v>
      </c>
      <c r="L169">
        <v>35.700000000000003</v>
      </c>
      <c r="M169">
        <v>27.035</v>
      </c>
      <c r="N169">
        <v>55.359000000000002</v>
      </c>
      <c r="O169">
        <v>7.9</v>
      </c>
      <c r="P169">
        <v>56.167400360000002</v>
      </c>
      <c r="Q169">
        <v>88497610</v>
      </c>
      <c r="R169">
        <v>2010</v>
      </c>
    </row>
    <row r="170" spans="1:18" x14ac:dyDescent="0.3">
      <c r="A170" t="s">
        <v>26</v>
      </c>
      <c r="B170">
        <v>2018</v>
      </c>
      <c r="C170">
        <v>405261000000</v>
      </c>
      <c r="D170">
        <v>6914.1780319999998</v>
      </c>
      <c r="E170">
        <v>1.5567838469999999</v>
      </c>
      <c r="F170">
        <v>782329000000</v>
      </c>
      <c r="G170">
        <v>93970000000</v>
      </c>
      <c r="H170">
        <v>113971000000</v>
      </c>
      <c r="I170">
        <v>2.6881575029999998</v>
      </c>
      <c r="J170">
        <v>63.377154519999998</v>
      </c>
      <c r="K170">
        <v>65.725999999999999</v>
      </c>
      <c r="L170">
        <v>34.9</v>
      </c>
      <c r="M170">
        <v>26.905999999999999</v>
      </c>
      <c r="N170">
        <v>55.161000000000001</v>
      </c>
      <c r="O170">
        <v>8</v>
      </c>
      <c r="P170">
        <v>62.400001529999997</v>
      </c>
      <c r="Q170">
        <v>92427958</v>
      </c>
      <c r="R170">
        <v>2010</v>
      </c>
    </row>
    <row r="171" spans="1:18" x14ac:dyDescent="0.3">
      <c r="A171" t="s">
        <v>26</v>
      </c>
      <c r="B171">
        <v>2019</v>
      </c>
      <c r="C171">
        <v>389330000000</v>
      </c>
      <c r="D171">
        <v>6533.7112100000004</v>
      </c>
      <c r="E171">
        <v>0.25993557699999997</v>
      </c>
      <c r="F171">
        <v>796183000000</v>
      </c>
      <c r="G171">
        <v>90016000000</v>
      </c>
      <c r="H171">
        <v>107539000000</v>
      </c>
      <c r="I171">
        <v>1.4075638779999999</v>
      </c>
      <c r="J171">
        <v>63.412725500000001</v>
      </c>
      <c r="K171">
        <v>66.070999999999998</v>
      </c>
      <c r="L171">
        <v>34.299999999999997</v>
      </c>
      <c r="M171">
        <v>28.468</v>
      </c>
      <c r="N171">
        <v>55.267000000000003</v>
      </c>
      <c r="O171">
        <v>8.6999999999999993</v>
      </c>
      <c r="P171">
        <v>69.69689941</v>
      </c>
      <c r="Q171">
        <v>96972459</v>
      </c>
      <c r="R171">
        <v>2010</v>
      </c>
    </row>
    <row r="172" spans="1:18" x14ac:dyDescent="0.3">
      <c r="A172" t="s">
        <v>26</v>
      </c>
      <c r="B172">
        <v>2020</v>
      </c>
      <c r="C172">
        <v>337975000000</v>
      </c>
      <c r="D172">
        <v>5580.6038310000004</v>
      </c>
      <c r="E172">
        <v>-6.1689177150000001</v>
      </c>
      <c r="F172">
        <v>767391000000</v>
      </c>
      <c r="G172">
        <v>85834000000</v>
      </c>
      <c r="H172">
        <v>84062000000</v>
      </c>
      <c r="I172">
        <v>-4.5290746569999998</v>
      </c>
      <c r="J172">
        <v>63.437308829999999</v>
      </c>
      <c r="K172">
        <v>65.150000000000006</v>
      </c>
      <c r="L172">
        <v>33.9</v>
      </c>
      <c r="M172">
        <v>29.216999999999999</v>
      </c>
      <c r="N172">
        <v>50.548000000000002</v>
      </c>
      <c r="O172">
        <v>9.8000000000000007</v>
      </c>
      <c r="P172">
        <v>72.1128006</v>
      </c>
      <c r="Q172">
        <v>95959439</v>
      </c>
      <c r="R172">
        <v>2020</v>
      </c>
    </row>
    <row r="173" spans="1:18" x14ac:dyDescent="0.3">
      <c r="A173" t="s">
        <v>26</v>
      </c>
      <c r="B173">
        <v>2021</v>
      </c>
      <c r="C173">
        <v>419986000000</v>
      </c>
      <c r="D173">
        <v>6828.7562459999999</v>
      </c>
      <c r="E173">
        <v>4.8586486510000002</v>
      </c>
      <c r="F173">
        <v>841476000000</v>
      </c>
      <c r="G173">
        <v>123572000000</v>
      </c>
      <c r="H173">
        <v>113989000000</v>
      </c>
      <c r="I173">
        <v>4.7135052059999998</v>
      </c>
      <c r="J173">
        <v>63.45039259</v>
      </c>
      <c r="K173">
        <v>62.01</v>
      </c>
      <c r="L173">
        <v>34</v>
      </c>
      <c r="M173">
        <v>34.006999999999998</v>
      </c>
      <c r="N173">
        <v>52.024000000000001</v>
      </c>
      <c r="O173">
        <v>9.6999999999999993</v>
      </c>
      <c r="P173">
        <v>74.968597410000001</v>
      </c>
      <c r="Q173">
        <v>100328005</v>
      </c>
      <c r="R173">
        <v>2020</v>
      </c>
    </row>
    <row r="174" spans="1:18" x14ac:dyDescent="0.3">
      <c r="A174" t="s">
        <v>26</v>
      </c>
      <c r="B174">
        <v>2022</v>
      </c>
      <c r="C174">
        <v>407596000000</v>
      </c>
      <c r="D174">
        <v>6534.2486779999999</v>
      </c>
      <c r="E174">
        <v>2.0581366170000002</v>
      </c>
      <c r="F174">
        <v>920022000000</v>
      </c>
      <c r="G174">
        <v>122901000000</v>
      </c>
      <c r="H174">
        <v>136207000000</v>
      </c>
      <c r="I174">
        <v>2.2056022120000001</v>
      </c>
      <c r="J174">
        <v>63.476669919999999</v>
      </c>
      <c r="K174">
        <v>65.453999999999994</v>
      </c>
      <c r="L174">
        <v>34.299999999999997</v>
      </c>
      <c r="M174">
        <v>33.268000000000001</v>
      </c>
      <c r="N174">
        <v>53.499000000000002</v>
      </c>
      <c r="O174">
        <v>9.6999999999999993</v>
      </c>
      <c r="P174">
        <v>78.293197629999995</v>
      </c>
      <c r="Q174">
        <v>100259890</v>
      </c>
      <c r="R174">
        <v>2020</v>
      </c>
    </row>
    <row r="175" spans="1:18" x14ac:dyDescent="0.3">
      <c r="A175" t="s">
        <v>26</v>
      </c>
      <c r="B175">
        <v>2023</v>
      </c>
      <c r="C175">
        <v>381441000000</v>
      </c>
      <c r="D175">
        <v>6034.2720900000004</v>
      </c>
      <c r="E175">
        <v>0.806104551</v>
      </c>
      <c r="F175">
        <v>960811000000</v>
      </c>
      <c r="G175">
        <v>110855000000</v>
      </c>
      <c r="H175">
        <v>130747000000</v>
      </c>
      <c r="I175">
        <v>0.59690474199999999</v>
      </c>
      <c r="J175">
        <v>63.582370519999998</v>
      </c>
      <c r="K175">
        <v>66.138999999999996</v>
      </c>
      <c r="L175">
        <v>34.799999999999997</v>
      </c>
      <c r="M175">
        <v>32.097999999999999</v>
      </c>
      <c r="N175">
        <v>55.02</v>
      </c>
      <c r="O175">
        <v>9.6999999999999993</v>
      </c>
      <c r="P175">
        <v>78.336700440000001</v>
      </c>
      <c r="Q175">
        <v>108414687</v>
      </c>
      <c r="R175">
        <v>2020</v>
      </c>
    </row>
    <row r="176" spans="1:18" x14ac:dyDescent="0.3">
      <c r="A176" t="s">
        <v>26</v>
      </c>
      <c r="B176">
        <v>2024</v>
      </c>
      <c r="C176">
        <v>401145000000</v>
      </c>
      <c r="D176">
        <v>6267.1868139999997</v>
      </c>
      <c r="E176">
        <v>0.53484353200000001</v>
      </c>
      <c r="F176">
        <v>989308000000</v>
      </c>
      <c r="G176">
        <v>110076000000</v>
      </c>
      <c r="H176">
        <v>123469000000</v>
      </c>
      <c r="I176">
        <v>0.74086649999999998</v>
      </c>
      <c r="J176">
        <v>63.691798489999996</v>
      </c>
      <c r="K176">
        <v>66.311999999999998</v>
      </c>
      <c r="L176">
        <v>35.1</v>
      </c>
      <c r="M176">
        <v>32.279000000000003</v>
      </c>
      <c r="N176">
        <v>55.57</v>
      </c>
      <c r="O176">
        <v>9.6999999999999993</v>
      </c>
      <c r="P176">
        <v>78.357597350000006</v>
      </c>
      <c r="Q176">
        <v>114788140</v>
      </c>
      <c r="R176">
        <v>2020</v>
      </c>
    </row>
    <row r="178" spans="11:12" x14ac:dyDescent="0.3">
      <c r="K178">
        <f ca="1">MAX(K:K)</f>
        <v>0</v>
      </c>
      <c r="L178">
        <f>MAX(Table1[[#All],[Life_Expectancy_Years]])</f>
        <v>78.201999999999998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BRICS_Clean_Analysis_1990_2024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Tanuja Sharma</cp:lastModifiedBy>
  <dcterms:created xsi:type="dcterms:W3CDTF">2026-06-17T18:57:46Z</dcterms:created>
  <dcterms:modified xsi:type="dcterms:W3CDTF">2026-06-18T11:40:24Z</dcterms:modified>
</cp:coreProperties>
</file>